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omments2.xml" ContentType="application/vnd.openxmlformats-officedocument.spreadsheetml.comments+xml"/>
  <Override PartName="/xl/drawings/drawing7.xml" ContentType="application/vnd.openxmlformats-officedocument.drawing+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omments3.xml" ContentType="application/vnd.openxmlformats-officedocument.spreadsheetml.comments+xml"/>
  <Override PartName="/xl/drawings/drawing8.xml" ContentType="application/vnd.openxmlformats-officedocument.drawing+xml"/>
  <Override PartName="/xl/comments4.xml" ContentType="application/vnd.openxmlformats-officedocument.spreadsheetml.comments+xml"/>
  <Override PartName="/xl/drawings/drawing9.xml" ContentType="application/vnd.openxmlformats-officedocument.drawing+xml"/>
  <Override PartName="/xl/comments5.xml" ContentType="application/vnd.openxmlformats-officedocument.spreadsheetml.comments+xml"/>
  <Override PartName="/xl/drawings/drawing10.xml" ContentType="application/vnd.openxmlformats-officedocument.drawing+xml"/>
  <Override PartName="/xl/ctrlProps/ctrlProp130.xml" ContentType="application/vnd.ms-excel.controlproperties+xml"/>
  <Override PartName="/xl/drawings/drawing11.xml" ContentType="application/vnd.openxmlformats-officedocument.drawing+xml"/>
  <Override PartName="/xl/drawings/drawing12.xml" ContentType="application/vnd.openxmlformats-officedocument.drawing+xml"/>
  <Override PartName="/xl/comments6.xml" ContentType="application/vnd.openxmlformats-officedocument.spreadsheetml.comments+xml"/>
  <Override PartName="/xl/drawings/drawing13.xml" ContentType="application/vnd.openxmlformats-officedocument.drawing+xml"/>
  <Override PartName="/xl/comments7.xml" ContentType="application/vnd.openxmlformats-officedocument.spreadsheetml.comments+xml"/>
  <Override PartName="/xl/drawings/drawing14.xml" ContentType="application/vnd.openxmlformats-officedocument.drawing+xml"/>
  <Override PartName="/xl/comments8.xml" ContentType="application/vnd.openxmlformats-officedocument.spreadsheetml.comments+xml"/>
  <Override PartName="/xl/drawings/drawing15.xml" ContentType="application/vnd.openxmlformats-officedocument.drawing+xml"/>
  <Override PartName="/xl/comments9.xml" ContentType="application/vnd.openxmlformats-officedocument.spreadsheetml.comments+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EstaPasta_de_trabalho" defaultThemeVersion="124226"/>
  <mc:AlternateContent xmlns:mc="http://schemas.openxmlformats.org/markup-compatibility/2006">
    <mc:Choice Requires="x15">
      <x15ac:absPath xmlns:x15ac="http://schemas.microsoft.com/office/spreadsheetml/2010/11/ac" url="C:\Users\EVANDRO\Desktop\"/>
    </mc:Choice>
  </mc:AlternateContent>
  <xr:revisionPtr revIDLastSave="0" documentId="8_{9C37AA0A-8F53-41F0-B563-C7F373A7B024}" xr6:coauthVersionLast="47" xr6:coauthVersionMax="47" xr10:uidLastSave="{00000000-0000-0000-0000-000000000000}"/>
  <bookViews>
    <workbookView showSheetTabs="0" xWindow="-120" yWindow="-120" windowWidth="38640" windowHeight="15720" tabRatio="763" xr2:uid="{00000000-000D-0000-FFFF-FFFF00000000}"/>
  </bookViews>
  <sheets>
    <sheet name="Menu" sheetId="4" r:id="rId1"/>
    <sheet name="Seq. Operacional" sheetId="6" r:id="rId2"/>
    <sheet name="Transf Seq Op." sheetId="15" r:id="rId3"/>
    <sheet name="Consulta Seq. Operacional" sheetId="18" r:id="rId4"/>
    <sheet name="BD Seq Op" sheetId="13" r:id="rId5"/>
    <sheet name="Ficha Acompanhamento" sheetId="19" r:id="rId6"/>
    <sheet name="Balanceamento" sheetId="9" r:id="rId7"/>
    <sheet name="Cliente" sheetId="23" r:id="rId8"/>
    <sheet name="OP" sheetId="20" r:id="rId9"/>
    <sheet name="Consulta OP" sheetId="25" r:id="rId10"/>
    <sheet name="BD da OP" sheetId="24" r:id="rId11"/>
    <sheet name="Operações" sheetId="7" r:id="rId12"/>
    <sheet name="Máquinas" sheetId="10" r:id="rId13"/>
    <sheet name="Aparelhos" sheetId="14" r:id="rId14"/>
    <sheet name="Ref" sheetId="11" r:id="rId15"/>
    <sheet name="Cores" sheetId="21" r:id="rId16"/>
    <sheet name="Tamanhos" sheetId="22" r:id="rId17"/>
  </sheets>
  <definedNames>
    <definedName name="_xlnm._FilterDatabase" localSheetId="13" hidden="1">Aparelhos!$A$1:$C$3</definedName>
    <definedName name="_xlnm._FilterDatabase" localSheetId="6" hidden="1">Balanceamento!$A$4:$K$126</definedName>
    <definedName name="_xlnm._FilterDatabase" localSheetId="10" hidden="1">'BD da OP'!$A$1:$AC$2</definedName>
    <definedName name="_xlnm._FilterDatabase" localSheetId="4" hidden="1">'BD Seq Op'!$A$1:$J$2</definedName>
    <definedName name="_xlnm._FilterDatabase" localSheetId="7" hidden="1">Cliente!$A$1:$B$4</definedName>
    <definedName name="_xlnm._FilterDatabase" localSheetId="9" hidden="1">'Consulta OP'!#REF!</definedName>
    <definedName name="_xlnm._FilterDatabase" localSheetId="3" hidden="1">'Consulta Seq. Operacional'!$A$4:$F$126</definedName>
    <definedName name="_xlnm._FilterDatabase" localSheetId="15" hidden="1">Cores!$A$1:$A$2</definedName>
    <definedName name="_xlnm._FilterDatabase" localSheetId="5" hidden="1">'Ficha Acompanhamento'!$A$7:$I$128</definedName>
    <definedName name="_xlnm._FilterDatabase" localSheetId="12" hidden="1">Máquinas!$A$1:$D$11</definedName>
    <definedName name="_xlnm._FilterDatabase" localSheetId="8" hidden="1">OP!#REF!</definedName>
    <definedName name="_xlnm._FilterDatabase" localSheetId="11" hidden="1">Operações!$A$1:$D$20</definedName>
    <definedName name="_xlnm._FilterDatabase" localSheetId="14" hidden="1">Ref!$A$1:$B$4</definedName>
    <definedName name="_xlnm._FilterDatabase" localSheetId="1" hidden="1">'Seq. Operacional'!$A$4:$F$126</definedName>
    <definedName name="_xlnm._FilterDatabase" localSheetId="16" hidden="1">Tamanhos!$A$1:$A$2</definedName>
    <definedName name="Aparelho">Aparelhos!$A$2:$A$4</definedName>
    <definedName name="_xlnm.Print_Area" localSheetId="13">Aparelhos!$A$1:$C$4</definedName>
    <definedName name="_xlnm.Print_Area" localSheetId="6">Balanceamento!$B$1:$K$126</definedName>
    <definedName name="_xlnm.Print_Area" localSheetId="10">'BD da OP'!$A$1:$AC$3</definedName>
    <definedName name="_xlnm.Print_Area" localSheetId="9">'Consulta OP'!$A$1:$K$9</definedName>
    <definedName name="_xlnm.Print_Area" localSheetId="3">'Consulta Seq. Operacional'!$B$1:$F$126</definedName>
    <definedName name="_xlnm.Print_Area" localSheetId="5">'Ficha Acompanhamento'!$B$1:$I$129</definedName>
    <definedName name="_xlnm.Print_Area" localSheetId="12">Máquinas!$A$1:$D$12</definedName>
    <definedName name="_xlnm.Print_Area" localSheetId="0">Menu!$A$1:$L$24</definedName>
    <definedName name="_xlnm.Print_Area" localSheetId="8">OP!$B$1</definedName>
    <definedName name="_xlnm.Print_Area" localSheetId="11">Operações!$A$1:$D$21</definedName>
    <definedName name="_xlnm.Print_Area" localSheetId="14">Ref!$A$1:$B$5</definedName>
    <definedName name="_xlnm.Print_Area" localSheetId="1">'Seq. Operacional'!$C$1:$F$126</definedName>
    <definedName name="_xlnm.Print_Area" localSheetId="2">'Transf Seq Op.'!$A$2:$G$122</definedName>
    <definedName name="Cliente">Cliente!$A$2:$A$5</definedName>
    <definedName name="cores">Cores!$A$2:$A$10</definedName>
    <definedName name="Função">#REF!</definedName>
    <definedName name="Máquina">Máquinas!$A$2:$A$12</definedName>
    <definedName name="numero_ops">'BD da OP'!$A$2:$A$3</definedName>
    <definedName name="Operações">Operações!$A$2:$A$21</definedName>
    <definedName name="Referência">Ref!$A$2:$A$5</definedName>
    <definedName name="tamanhos">Tamanhos!$A$2:$A$23</definedName>
    <definedName name="_xlnm.Print_Titles" localSheetId="6">Balanceamento!$5:$5</definedName>
    <definedName name="_xlnm.Print_Titles" localSheetId="10">'BD da OP'!$1:$1</definedName>
    <definedName name="_xlnm.Print_Titles" localSheetId="4">'BD Seq Op'!$1:$1</definedName>
    <definedName name="_xlnm.Print_Titles" localSheetId="9">'Consulta OP'!$8:$9</definedName>
    <definedName name="_xlnm.Print_Titles" localSheetId="3">'Consulta Seq. Operacional'!$5:$5</definedName>
    <definedName name="_xlnm.Print_Titles" localSheetId="5">'Ficha Acompanhamento'!$8:$8</definedName>
    <definedName name="_xlnm.Print_Titles" localSheetId="8">OP!$8:$9</definedName>
    <definedName name="_xlnm.Print_Titles" localSheetId="11">Operações!$1:$1</definedName>
    <definedName name="_xlnm.Print_Titles" localSheetId="1">'Seq. Operacional'!$5:$5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 i="9" l="1"/>
  <c r="F125" i="6"/>
  <c r="E125" i="6"/>
  <c r="D125" i="6"/>
  <c r="F124" i="6"/>
  <c r="E124" i="6"/>
  <c r="D124" i="6"/>
  <c r="F123" i="6"/>
  <c r="E123" i="6"/>
  <c r="D123" i="6"/>
  <c r="F122" i="6"/>
  <c r="E122" i="6"/>
  <c r="D122" i="6"/>
  <c r="F121" i="6"/>
  <c r="E121" i="6"/>
  <c r="D121" i="6"/>
  <c r="F120" i="6"/>
  <c r="E120" i="6"/>
  <c r="D120" i="6"/>
  <c r="F119" i="6"/>
  <c r="E119" i="6"/>
  <c r="D119" i="6"/>
  <c r="F118" i="6"/>
  <c r="E118" i="6"/>
  <c r="D118" i="6"/>
  <c r="F117" i="6"/>
  <c r="E117" i="6"/>
  <c r="D117" i="6"/>
  <c r="F116" i="6"/>
  <c r="E116" i="6"/>
  <c r="D116" i="6"/>
  <c r="F115" i="6"/>
  <c r="E115" i="6"/>
  <c r="D115" i="6"/>
  <c r="F114" i="6"/>
  <c r="E114" i="6"/>
  <c r="D114" i="6"/>
  <c r="F113" i="6"/>
  <c r="E113" i="6"/>
  <c r="D113" i="6"/>
  <c r="F112" i="6"/>
  <c r="E112" i="6"/>
  <c r="D112" i="6"/>
  <c r="F111" i="6"/>
  <c r="E111" i="6"/>
  <c r="D111" i="6"/>
  <c r="F110" i="6"/>
  <c r="E110" i="6"/>
  <c r="D110" i="6"/>
  <c r="F109" i="6"/>
  <c r="E109" i="6"/>
  <c r="D109" i="6"/>
  <c r="F108" i="6"/>
  <c r="E108" i="6"/>
  <c r="D108" i="6"/>
  <c r="F107" i="6"/>
  <c r="E107" i="6"/>
  <c r="D107" i="6"/>
  <c r="F106" i="6"/>
  <c r="E106" i="6"/>
  <c r="D106" i="6"/>
  <c r="F105" i="6"/>
  <c r="E105" i="6"/>
  <c r="D105" i="6"/>
  <c r="F104" i="6"/>
  <c r="E104" i="6"/>
  <c r="D104" i="6"/>
  <c r="F103" i="6"/>
  <c r="E103" i="6"/>
  <c r="D103" i="6"/>
  <c r="F102" i="6"/>
  <c r="E102" i="6"/>
  <c r="D102" i="6"/>
  <c r="F101" i="6"/>
  <c r="E101" i="6"/>
  <c r="D101" i="6"/>
  <c r="F100" i="6"/>
  <c r="E100" i="6"/>
  <c r="D100" i="6"/>
  <c r="F99" i="6"/>
  <c r="E99" i="6"/>
  <c r="D99" i="6"/>
  <c r="F98" i="6"/>
  <c r="E98" i="6"/>
  <c r="D98" i="6"/>
  <c r="F97" i="6"/>
  <c r="E97" i="6"/>
  <c r="D97" i="6"/>
  <c r="F96" i="6"/>
  <c r="E96" i="6"/>
  <c r="D96" i="6"/>
  <c r="F95" i="6"/>
  <c r="E95" i="6"/>
  <c r="D95" i="6"/>
  <c r="F94" i="6"/>
  <c r="E94" i="6"/>
  <c r="D94" i="6"/>
  <c r="F93" i="6"/>
  <c r="E93" i="6"/>
  <c r="D93" i="6"/>
  <c r="F92" i="6"/>
  <c r="E92" i="6"/>
  <c r="D92" i="6"/>
  <c r="F91" i="6"/>
  <c r="E91" i="6"/>
  <c r="D91" i="6"/>
  <c r="F90" i="6"/>
  <c r="E90" i="6"/>
  <c r="D90" i="6"/>
  <c r="F89" i="6"/>
  <c r="E89" i="6"/>
  <c r="D89" i="6"/>
  <c r="F88" i="6"/>
  <c r="E88" i="6"/>
  <c r="D88" i="6"/>
  <c r="F87" i="6"/>
  <c r="E87" i="6"/>
  <c r="D87" i="6"/>
  <c r="F86" i="6"/>
  <c r="E86" i="6"/>
  <c r="D86" i="6"/>
  <c r="F85" i="6"/>
  <c r="E85" i="6"/>
  <c r="D85" i="6"/>
  <c r="F84" i="6"/>
  <c r="E84" i="6"/>
  <c r="D84" i="6"/>
  <c r="F83" i="6"/>
  <c r="E83" i="6"/>
  <c r="D83" i="6"/>
  <c r="F82" i="6"/>
  <c r="E82" i="6"/>
  <c r="D82" i="6"/>
  <c r="F81" i="6"/>
  <c r="E81" i="6"/>
  <c r="D81" i="6"/>
  <c r="F80" i="6"/>
  <c r="E80" i="6"/>
  <c r="D80" i="6"/>
  <c r="F79" i="6"/>
  <c r="E79" i="6"/>
  <c r="D79" i="6"/>
  <c r="F78" i="6"/>
  <c r="E78" i="6"/>
  <c r="D78" i="6"/>
  <c r="F77" i="6"/>
  <c r="E77" i="6"/>
  <c r="D77" i="6"/>
  <c r="F76" i="6"/>
  <c r="E76" i="6"/>
  <c r="D76" i="6"/>
  <c r="F75" i="6"/>
  <c r="E75" i="6"/>
  <c r="D75" i="6"/>
  <c r="F74" i="6"/>
  <c r="E74" i="6"/>
  <c r="D74" i="6"/>
  <c r="F73" i="6"/>
  <c r="E73" i="6"/>
  <c r="D73" i="6"/>
  <c r="F72" i="6"/>
  <c r="E72" i="6"/>
  <c r="D72" i="6"/>
  <c r="F71" i="6"/>
  <c r="E71" i="6"/>
  <c r="D71" i="6"/>
  <c r="F70" i="6"/>
  <c r="E70" i="6"/>
  <c r="D70" i="6"/>
  <c r="F69" i="6"/>
  <c r="E69" i="6"/>
  <c r="D69" i="6"/>
  <c r="F68" i="6"/>
  <c r="E68" i="6"/>
  <c r="D68" i="6"/>
  <c r="F67" i="6"/>
  <c r="E67" i="6"/>
  <c r="D67" i="6"/>
  <c r="F66" i="6"/>
  <c r="E66" i="6"/>
  <c r="D66" i="6"/>
  <c r="F65" i="6"/>
  <c r="E65" i="6"/>
  <c r="D65" i="6"/>
  <c r="F64" i="6"/>
  <c r="E64" i="6"/>
  <c r="D64" i="6"/>
  <c r="F63" i="6"/>
  <c r="E63" i="6"/>
  <c r="D63" i="6"/>
  <c r="F62" i="6"/>
  <c r="E62" i="6"/>
  <c r="D62" i="6"/>
  <c r="F61" i="6"/>
  <c r="E61" i="6"/>
  <c r="D61" i="6"/>
  <c r="F60" i="6"/>
  <c r="E60" i="6"/>
  <c r="D60" i="6"/>
  <c r="F59" i="6"/>
  <c r="E59" i="6"/>
  <c r="D59" i="6"/>
  <c r="F58" i="6"/>
  <c r="E58" i="6"/>
  <c r="D58" i="6"/>
  <c r="F57" i="6"/>
  <c r="E57" i="6"/>
  <c r="D57" i="6"/>
  <c r="F56" i="6"/>
  <c r="E56" i="6"/>
  <c r="D56" i="6"/>
  <c r="F55" i="6"/>
  <c r="E55" i="6"/>
  <c r="D55" i="6"/>
  <c r="F54" i="6"/>
  <c r="E54" i="6"/>
  <c r="D54" i="6"/>
  <c r="F53" i="6"/>
  <c r="E53" i="6"/>
  <c r="D53" i="6"/>
  <c r="F52" i="6"/>
  <c r="E52" i="6"/>
  <c r="D52" i="6"/>
  <c r="F51" i="6"/>
  <c r="E51" i="6"/>
  <c r="D51" i="6"/>
  <c r="F50" i="6"/>
  <c r="E50" i="6"/>
  <c r="D50" i="6"/>
  <c r="F49" i="6"/>
  <c r="E49" i="6"/>
  <c r="D49" i="6"/>
  <c r="F48" i="6"/>
  <c r="E48" i="6"/>
  <c r="D48" i="6"/>
  <c r="F47" i="6"/>
  <c r="E47" i="6"/>
  <c r="D47" i="6"/>
  <c r="F46" i="6"/>
  <c r="E46" i="6"/>
  <c r="D46" i="6"/>
  <c r="F45" i="6"/>
  <c r="E45" i="6"/>
  <c r="D45" i="6"/>
  <c r="F44" i="6"/>
  <c r="E44" i="6"/>
  <c r="D44" i="6"/>
  <c r="F43" i="6"/>
  <c r="E43" i="6"/>
  <c r="D43" i="6"/>
  <c r="F42" i="6"/>
  <c r="E42" i="6"/>
  <c r="D42" i="6"/>
  <c r="F41" i="6"/>
  <c r="E41" i="6"/>
  <c r="D41" i="6"/>
  <c r="F40" i="6"/>
  <c r="E40" i="6"/>
  <c r="D40" i="6"/>
  <c r="F39" i="6"/>
  <c r="E39" i="6"/>
  <c r="D39" i="6"/>
  <c r="F38" i="6"/>
  <c r="E38" i="6"/>
  <c r="D38" i="6"/>
  <c r="F37" i="6"/>
  <c r="E37" i="6"/>
  <c r="D37" i="6"/>
  <c r="F36" i="6"/>
  <c r="E36" i="6"/>
  <c r="D36" i="6"/>
  <c r="F35" i="6"/>
  <c r="E35" i="6"/>
  <c r="D35" i="6"/>
  <c r="F34" i="6"/>
  <c r="E34" i="6"/>
  <c r="D34" i="6"/>
  <c r="F33" i="6"/>
  <c r="E33" i="6"/>
  <c r="D33" i="6"/>
  <c r="F32" i="6"/>
  <c r="E32" i="6"/>
  <c r="D32" i="6"/>
  <c r="F31" i="6"/>
  <c r="E31" i="6"/>
  <c r="D31" i="6"/>
  <c r="F30" i="6"/>
  <c r="E30" i="6"/>
  <c r="D30" i="6"/>
  <c r="F29" i="6"/>
  <c r="E29" i="6"/>
  <c r="D29" i="6"/>
  <c r="F28" i="6"/>
  <c r="E28" i="6"/>
  <c r="D28" i="6"/>
  <c r="F27" i="6"/>
  <c r="E27" i="6"/>
  <c r="D27" i="6"/>
  <c r="F26" i="6"/>
  <c r="E26" i="6"/>
  <c r="D26" i="6"/>
  <c r="F25" i="6"/>
  <c r="E25" i="6"/>
  <c r="D25" i="6"/>
  <c r="F24" i="6"/>
  <c r="E24" i="6"/>
  <c r="D24" i="6"/>
  <c r="F23" i="6"/>
  <c r="E23" i="6"/>
  <c r="D23" i="6"/>
  <c r="F22" i="6"/>
  <c r="E22" i="6"/>
  <c r="D22" i="6"/>
  <c r="F21" i="6"/>
  <c r="E21" i="6"/>
  <c r="D21" i="6"/>
  <c r="F20" i="6"/>
  <c r="E20" i="6"/>
  <c r="D20" i="6"/>
  <c r="F19" i="6"/>
  <c r="E19" i="6"/>
  <c r="D19" i="6"/>
  <c r="F18" i="6"/>
  <c r="E18" i="6"/>
  <c r="D18" i="6"/>
  <c r="F17" i="6"/>
  <c r="E17" i="6"/>
  <c r="D17" i="6"/>
  <c r="F16" i="6"/>
  <c r="E16" i="6"/>
  <c r="D16" i="6"/>
  <c r="F15" i="6"/>
  <c r="E15" i="6"/>
  <c r="D15" i="6"/>
  <c r="F14" i="6"/>
  <c r="E14" i="6"/>
  <c r="D14" i="6"/>
  <c r="F13" i="6"/>
  <c r="E13" i="6"/>
  <c r="D13" i="6"/>
  <c r="F12" i="6"/>
  <c r="E12" i="6"/>
  <c r="D12" i="6"/>
  <c r="F11" i="6"/>
  <c r="E11" i="6"/>
  <c r="D11" i="6"/>
  <c r="F10" i="6"/>
  <c r="E10" i="6"/>
  <c r="D10" i="6"/>
  <c r="F9" i="6"/>
  <c r="E9" i="6"/>
  <c r="D9" i="6"/>
  <c r="F8" i="6"/>
  <c r="E8" i="6"/>
  <c r="D8" i="6"/>
  <c r="F7" i="6"/>
  <c r="E7" i="6"/>
  <c r="D7" i="6"/>
  <c r="F6" i="6"/>
  <c r="E6" i="6"/>
  <c r="D6" i="6"/>
  <c r="F1" i="6"/>
  <c r="B2" i="20"/>
  <c r="B2" i="24" l="1"/>
  <c r="N1" i="6"/>
  <c r="R8" i="9"/>
  <c r="N9" i="6"/>
  <c r="N2"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F130" i="6"/>
  <c r="E130" i="6"/>
  <c r="D130" i="6"/>
  <c r="N6" i="6" l="1"/>
  <c r="N8" i="6"/>
  <c r="N7" i="6"/>
  <c r="J2" i="13"/>
  <c r="I2" i="13"/>
  <c r="C2" i="13"/>
  <c r="D11" i="10" l="1"/>
  <c r="D8" i="10"/>
  <c r="R16" i="19" l="1"/>
  <c r="A11" i="20"/>
  <c r="A7" i="20"/>
  <c r="P4" i="20"/>
  <c r="B1" i="23"/>
  <c r="A1" i="23"/>
  <c r="H5" i="9" l="1"/>
  <c r="I2" i="19" l="1"/>
  <c r="E54" i="4"/>
  <c r="E55" i="4"/>
  <c r="G58" i="4"/>
  <c r="C3" i="14" l="1"/>
  <c r="C2" i="14"/>
  <c r="D2" i="10"/>
  <c r="D3" i="10"/>
  <c r="D4" i="10"/>
  <c r="D5" i="10"/>
  <c r="D6" i="10"/>
  <c r="D7" i="10"/>
  <c r="D9" i="10"/>
  <c r="D10" i="10"/>
  <c r="N3" i="6" l="1"/>
  <c r="N5" i="6" s="1"/>
  <c r="P3" i="20" l="1"/>
  <c r="V15" i="19" l="1"/>
  <c r="U18" i="19"/>
  <c r="U17" i="19"/>
  <c r="U16" i="19"/>
  <c r="S16" i="19" s="1"/>
  <c r="AD14" i="19"/>
  <c r="AC14" i="19"/>
  <c r="AB14" i="19"/>
  <c r="AA14" i="19"/>
  <c r="Z14" i="19"/>
  <c r="Y14" i="19"/>
  <c r="X14" i="19"/>
  <c r="W14" i="19"/>
  <c r="V14" i="19"/>
  <c r="U14" i="19"/>
  <c r="S14" i="19" s="1"/>
  <c r="AD13" i="19"/>
  <c r="AC13" i="19"/>
  <c r="AB13" i="19"/>
  <c r="AA13" i="19"/>
  <c r="Z13" i="19"/>
  <c r="Y13" i="19"/>
  <c r="X13" i="19"/>
  <c r="W13" i="19"/>
  <c r="V13" i="19"/>
  <c r="U13" i="19"/>
  <c r="S13" i="19" s="1"/>
  <c r="U11" i="19"/>
  <c r="U12" i="19" s="1"/>
  <c r="U10" i="19"/>
  <c r="U15" i="19" l="1"/>
  <c r="P1" i="20"/>
  <c r="P2" i="20" s="1"/>
  <c r="C3" i="20" l="1"/>
  <c r="B8" i="25" l="1"/>
  <c r="B7" i="25"/>
  <c r="B6" i="25"/>
  <c r="K5" i="25"/>
  <c r="J5" i="25"/>
  <c r="I5" i="25"/>
  <c r="H5" i="25"/>
  <c r="G5" i="25"/>
  <c r="F5" i="25"/>
  <c r="E5" i="25"/>
  <c r="D5" i="25"/>
  <c r="C5" i="25"/>
  <c r="B5" i="25"/>
  <c r="K4" i="25"/>
  <c r="J4" i="25"/>
  <c r="I4" i="25"/>
  <c r="H4" i="25"/>
  <c r="G4" i="25"/>
  <c r="F4" i="25"/>
  <c r="E4" i="25"/>
  <c r="D4" i="25"/>
  <c r="C4" i="25"/>
  <c r="B4" i="25"/>
  <c r="C3" i="25"/>
  <c r="B3" i="25"/>
  <c r="B2" i="25"/>
  <c r="B1" i="25"/>
  <c r="B9" i="25" s="1"/>
  <c r="AC21" i="20"/>
  <c r="AB21" i="20"/>
  <c r="AA21" i="20"/>
  <c r="Z21" i="20"/>
  <c r="Y21" i="20"/>
  <c r="X21" i="20"/>
  <c r="W21" i="20"/>
  <c r="V21" i="20"/>
  <c r="U21" i="20"/>
  <c r="T21" i="20"/>
  <c r="S21" i="20"/>
  <c r="R21" i="20"/>
  <c r="Q21" i="20"/>
  <c r="P21" i="20"/>
  <c r="O21" i="20"/>
  <c r="N21" i="20"/>
  <c r="M21" i="20"/>
  <c r="L21" i="20"/>
  <c r="K21" i="20"/>
  <c r="J21" i="20"/>
  <c r="I21" i="20"/>
  <c r="H21" i="20"/>
  <c r="G21" i="20"/>
  <c r="F21" i="20"/>
  <c r="D21" i="20"/>
  <c r="C21" i="20"/>
  <c r="A21" i="20"/>
  <c r="B11" i="20"/>
  <c r="E21" i="20"/>
  <c r="S18" i="19" l="1"/>
  <c r="B6" i="19" s="1"/>
  <c r="S17" i="19"/>
  <c r="S10" i="19" l="1"/>
  <c r="U9" i="19"/>
  <c r="S9" i="19" s="1"/>
  <c r="S11" i="19" l="1"/>
  <c r="P6" i="19"/>
  <c r="S12" i="19" l="1"/>
  <c r="G3" i="19" l="1"/>
  <c r="H2" i="19"/>
  <c r="G2" i="19"/>
  <c r="G1" i="19"/>
  <c r="S15" i="19" l="1"/>
  <c r="R7" i="9" l="1"/>
  <c r="R6" i="9" l="1"/>
  <c r="H3" i="9" l="1"/>
  <c r="C3" i="9"/>
  <c r="R2" i="9" l="1"/>
  <c r="H2" i="9"/>
  <c r="C9" i="19" l="1"/>
  <c r="C12" i="19"/>
  <c r="C13" i="19"/>
  <c r="D12" i="19"/>
  <c r="C125" i="19"/>
  <c r="C107" i="19"/>
  <c r="C87" i="19"/>
  <c r="D109" i="19"/>
  <c r="C126" i="19"/>
  <c r="C118" i="19"/>
  <c r="C110" i="19"/>
  <c r="C102" i="19"/>
  <c r="C94" i="19"/>
  <c r="C86" i="19"/>
  <c r="D126" i="19"/>
  <c r="D118" i="19"/>
  <c r="D110" i="19"/>
  <c r="D102" i="19"/>
  <c r="D94" i="19"/>
  <c r="D86" i="19"/>
  <c r="C117" i="19"/>
  <c r="C105" i="19"/>
  <c r="C93" i="19"/>
  <c r="D121" i="19"/>
  <c r="D101" i="19"/>
  <c r="D85" i="19"/>
  <c r="C69" i="19"/>
  <c r="C53" i="19"/>
  <c r="C37" i="19"/>
  <c r="C20" i="19"/>
  <c r="D79" i="19"/>
  <c r="D55" i="19"/>
  <c r="D39" i="19"/>
  <c r="C23" i="19"/>
  <c r="C70" i="19"/>
  <c r="C54" i="19"/>
  <c r="C38" i="19"/>
  <c r="D23" i="19"/>
  <c r="D70" i="19"/>
  <c r="D54" i="19"/>
  <c r="D36" i="19"/>
  <c r="D13" i="19"/>
  <c r="C127" i="19"/>
  <c r="C91" i="19"/>
  <c r="C128" i="19"/>
  <c r="C112" i="19"/>
  <c r="C96" i="19"/>
  <c r="D128" i="19"/>
  <c r="D112" i="19"/>
  <c r="D96" i="19"/>
  <c r="C121" i="19"/>
  <c r="C95" i="19"/>
  <c r="D113" i="19"/>
  <c r="D95" i="19"/>
  <c r="C79" i="19"/>
  <c r="C63" i="19"/>
  <c r="C47" i="19"/>
  <c r="D30" i="19"/>
  <c r="C16" i="19"/>
  <c r="D73" i="19"/>
  <c r="D57" i="19"/>
  <c r="D41" i="19"/>
  <c r="D25" i="19"/>
  <c r="C72" i="19"/>
  <c r="C64" i="19"/>
  <c r="C48" i="19"/>
  <c r="C32" i="19"/>
  <c r="D16" i="19"/>
  <c r="D64" i="19"/>
  <c r="D48" i="19"/>
  <c r="D29" i="19"/>
  <c r="C14" i="19"/>
  <c r="D10" i="19"/>
  <c r="C97" i="19"/>
  <c r="D123" i="19"/>
  <c r="C114" i="19"/>
  <c r="C98" i="19"/>
  <c r="C82" i="19"/>
  <c r="D114" i="19"/>
  <c r="D98" i="19"/>
  <c r="D82" i="19"/>
  <c r="C101" i="19"/>
  <c r="D115" i="19"/>
  <c r="D97" i="19"/>
  <c r="D81" i="19"/>
  <c r="C65" i="19"/>
  <c r="C49" i="19"/>
  <c r="C33" i="19"/>
  <c r="D17" i="19"/>
  <c r="D75" i="19"/>
  <c r="D59" i="19"/>
  <c r="D43" i="19"/>
  <c r="C26" i="19"/>
  <c r="C74" i="19"/>
  <c r="C58" i="19"/>
  <c r="C42" i="19"/>
  <c r="D26" i="19"/>
  <c r="D74" i="19"/>
  <c r="D58" i="19"/>
  <c r="D40" i="19"/>
  <c r="C19" i="19"/>
  <c r="C11" i="19"/>
  <c r="C10" i="19"/>
  <c r="C123" i="19"/>
  <c r="C99" i="19"/>
  <c r="C83" i="19"/>
  <c r="D127" i="19"/>
  <c r="C124" i="19"/>
  <c r="C116" i="19"/>
  <c r="C108" i="19"/>
  <c r="C100" i="19"/>
  <c r="C92" i="19"/>
  <c r="C84" i="19"/>
  <c r="D124" i="19"/>
  <c r="D116" i="19"/>
  <c r="D108" i="19"/>
  <c r="D100" i="19"/>
  <c r="D92" i="19"/>
  <c r="D84" i="19"/>
  <c r="C115" i="19"/>
  <c r="C103" i="19"/>
  <c r="C89" i="19"/>
  <c r="D117" i="19"/>
  <c r="D107" i="19"/>
  <c r="D99" i="19"/>
  <c r="D91" i="19"/>
  <c r="D83" i="19"/>
  <c r="C75" i="19"/>
  <c r="C67" i="19"/>
  <c r="C59" i="19"/>
  <c r="C51" i="19"/>
  <c r="C43" i="19"/>
  <c r="C35" i="19"/>
  <c r="D27" i="19"/>
  <c r="D19" i="19"/>
  <c r="C30" i="19"/>
  <c r="D77" i="19"/>
  <c r="D69" i="19"/>
  <c r="D61" i="19"/>
  <c r="D53" i="19"/>
  <c r="D45" i="19"/>
  <c r="D37" i="19"/>
  <c r="D28" i="19"/>
  <c r="D20" i="19"/>
  <c r="C76" i="19"/>
  <c r="C68" i="19"/>
  <c r="C60" i="19"/>
  <c r="C52" i="19"/>
  <c r="C44" i="19"/>
  <c r="C36" i="19"/>
  <c r="C29" i="19"/>
  <c r="C21" i="19"/>
  <c r="D76" i="19"/>
  <c r="D68" i="19"/>
  <c r="D60" i="19"/>
  <c r="D52" i="19"/>
  <c r="D42" i="19"/>
  <c r="D34" i="19"/>
  <c r="D21" i="19"/>
  <c r="D14" i="19"/>
  <c r="D111" i="19"/>
  <c r="D93" i="19"/>
  <c r="C77" i="19"/>
  <c r="C61" i="19"/>
  <c r="C45" i="19"/>
  <c r="C28" i="19"/>
  <c r="D44" i="19"/>
  <c r="D71" i="19"/>
  <c r="D63" i="19"/>
  <c r="D47" i="19"/>
  <c r="C31" i="19"/>
  <c r="C78" i="19"/>
  <c r="C62" i="19"/>
  <c r="C46" i="19"/>
  <c r="D31" i="19"/>
  <c r="D78" i="19"/>
  <c r="D62" i="19"/>
  <c r="D46" i="19"/>
  <c r="C27" i="19"/>
  <c r="C15" i="19"/>
  <c r="D9" i="19"/>
  <c r="C111" i="19"/>
  <c r="D119" i="19"/>
  <c r="C120" i="19"/>
  <c r="C104" i="19"/>
  <c r="C88" i="19"/>
  <c r="D120" i="19"/>
  <c r="D104" i="19"/>
  <c r="D88" i="19"/>
  <c r="C109" i="19"/>
  <c r="C81" i="19"/>
  <c r="D103" i="19"/>
  <c r="D87" i="19"/>
  <c r="C71" i="19"/>
  <c r="C55" i="19"/>
  <c r="C39" i="19"/>
  <c r="D22" i="19"/>
  <c r="C22" i="19"/>
  <c r="D65" i="19"/>
  <c r="D49" i="19"/>
  <c r="D33" i="19"/>
  <c r="D80" i="19"/>
  <c r="C80" i="19" s="1"/>
  <c r="C56" i="19"/>
  <c r="C40" i="19"/>
  <c r="C24" i="19"/>
  <c r="D72" i="19"/>
  <c r="D56" i="19"/>
  <c r="D38" i="19"/>
  <c r="C17" i="19"/>
  <c r="D11" i="19"/>
  <c r="C119" i="19"/>
  <c r="D125" i="19"/>
  <c r="C122" i="19"/>
  <c r="C106" i="19"/>
  <c r="C90" i="19"/>
  <c r="D122" i="19"/>
  <c r="D106" i="19"/>
  <c r="D90" i="19"/>
  <c r="C113" i="19"/>
  <c r="C85" i="19"/>
  <c r="D105" i="19"/>
  <c r="D89" i="19"/>
  <c r="C73" i="19"/>
  <c r="C57" i="19"/>
  <c r="C41" i="19"/>
  <c r="C25" i="19"/>
  <c r="D24" i="19"/>
  <c r="D67" i="19"/>
  <c r="D51" i="19"/>
  <c r="D35" i="19"/>
  <c r="C18" i="19"/>
  <c r="C66" i="19"/>
  <c r="C50" i="19"/>
  <c r="C34" i="19"/>
  <c r="D18" i="19"/>
  <c r="D66" i="19"/>
  <c r="D50" i="19"/>
  <c r="D32" i="19"/>
  <c r="D15" i="19"/>
  <c r="E125" i="9"/>
  <c r="E124" i="9"/>
  <c r="E123" i="9"/>
  <c r="E122" i="9"/>
  <c r="E121" i="9"/>
  <c r="E120" i="9"/>
  <c r="E119" i="9"/>
  <c r="E118" i="9"/>
  <c r="E117" i="9"/>
  <c r="E116" i="9"/>
  <c r="E115" i="9"/>
  <c r="E114" i="9"/>
  <c r="E113" i="9"/>
  <c r="E112" i="9"/>
  <c r="E111" i="9"/>
  <c r="E110" i="9"/>
  <c r="F109" i="9"/>
  <c r="F108" i="9"/>
  <c r="F107" i="9"/>
  <c r="F106" i="9"/>
  <c r="F105" i="9"/>
  <c r="F104" i="9"/>
  <c r="F103" i="9"/>
  <c r="F102" i="9"/>
  <c r="F101" i="9"/>
  <c r="F100" i="9"/>
  <c r="F99" i="9"/>
  <c r="F98" i="9"/>
  <c r="F97" i="9"/>
  <c r="F96" i="9"/>
  <c r="F95" i="9"/>
  <c r="F94" i="9"/>
  <c r="F93" i="9"/>
  <c r="F92" i="9"/>
  <c r="C91" i="9"/>
  <c r="A91" i="9" s="1"/>
  <c r="C90" i="9"/>
  <c r="A90" i="9" s="1"/>
  <c r="C89" i="9"/>
  <c r="A89" i="9" s="1"/>
  <c r="C88" i="9"/>
  <c r="A88" i="9" s="1"/>
  <c r="C87" i="9"/>
  <c r="A87" i="9" s="1"/>
  <c r="C86" i="9"/>
  <c r="A86" i="9" s="1"/>
  <c r="C85" i="9"/>
  <c r="A85" i="9" s="1"/>
  <c r="C84" i="9"/>
  <c r="A84" i="9" s="1"/>
  <c r="C83" i="9"/>
  <c r="A83" i="9" s="1"/>
  <c r="C82" i="9"/>
  <c r="A82" i="9" s="1"/>
  <c r="C81" i="9"/>
  <c r="A81" i="9" s="1"/>
  <c r="C80" i="9"/>
  <c r="A80" i="9" s="1"/>
  <c r="C79" i="9"/>
  <c r="A79" i="9" s="1"/>
  <c r="C78" i="9"/>
  <c r="A78" i="9" s="1"/>
  <c r="C77" i="9"/>
  <c r="A77" i="9" s="1"/>
  <c r="C76" i="9"/>
  <c r="A76" i="9" s="1"/>
  <c r="C75" i="9"/>
  <c r="A75" i="9" s="1"/>
  <c r="C74" i="9"/>
  <c r="A74" i="9" s="1"/>
  <c r="C73" i="9"/>
  <c r="A73" i="9" s="1"/>
  <c r="C72" i="9"/>
  <c r="A72" i="9" s="1"/>
  <c r="C71" i="9"/>
  <c r="A71" i="9" s="1"/>
  <c r="C70" i="9"/>
  <c r="A70" i="9" s="1"/>
  <c r="C69" i="9"/>
  <c r="A69" i="9" s="1"/>
  <c r="C68" i="9"/>
  <c r="A68" i="9" s="1"/>
  <c r="C67" i="9"/>
  <c r="A67" i="9" s="1"/>
  <c r="C66" i="9"/>
  <c r="A66" i="9" s="1"/>
  <c r="C65" i="9"/>
  <c r="A65" i="9" s="1"/>
  <c r="C64" i="9"/>
  <c r="A64" i="9" s="1"/>
  <c r="C63" i="9"/>
  <c r="A63" i="9" s="1"/>
  <c r="C62" i="9"/>
  <c r="A62" i="9" s="1"/>
  <c r="C61" i="9"/>
  <c r="A61" i="9" s="1"/>
  <c r="C60" i="9"/>
  <c r="A60" i="9" s="1"/>
  <c r="C59" i="9"/>
  <c r="A59" i="9" s="1"/>
  <c r="C58" i="9"/>
  <c r="A58" i="9" s="1"/>
  <c r="D57" i="9"/>
  <c r="G57" i="9" s="1"/>
  <c r="D56" i="9"/>
  <c r="D55" i="9"/>
  <c r="G55" i="9" s="1"/>
  <c r="D54" i="9"/>
  <c r="E53" i="9"/>
  <c r="E52" i="9"/>
  <c r="E51" i="9"/>
  <c r="E50" i="9"/>
  <c r="E49" i="9"/>
  <c r="E48" i="9"/>
  <c r="E47" i="9"/>
  <c r="E46" i="9"/>
  <c r="E45" i="9"/>
  <c r="E44" i="9"/>
  <c r="E43" i="9"/>
  <c r="E42" i="9"/>
  <c r="E41" i="9"/>
  <c r="E40" i="9"/>
  <c r="E39" i="9"/>
  <c r="E38" i="9"/>
  <c r="E37" i="9"/>
  <c r="E36" i="9"/>
  <c r="E35" i="9"/>
  <c r="E34" i="9"/>
  <c r="E33" i="9"/>
  <c r="E32" i="9"/>
  <c r="E31" i="9"/>
  <c r="E30" i="9"/>
  <c r="E29" i="9"/>
  <c r="E28" i="9"/>
  <c r="E27" i="9"/>
  <c r="E26" i="9"/>
  <c r="F25" i="9"/>
  <c r="F24" i="9"/>
  <c r="F23" i="9"/>
  <c r="F22" i="9"/>
  <c r="F21" i="9"/>
  <c r="F20" i="9"/>
  <c r="F19" i="9"/>
  <c r="F18" i="9"/>
  <c r="F17" i="9"/>
  <c r="F16" i="9"/>
  <c r="F15" i="9"/>
  <c r="F14" i="9"/>
  <c r="F13" i="9"/>
  <c r="C124" i="9"/>
  <c r="A124" i="9" s="1"/>
  <c r="C122" i="9"/>
  <c r="A122" i="9" s="1"/>
  <c r="C121" i="9"/>
  <c r="A121" i="9" s="1"/>
  <c r="C119" i="9"/>
  <c r="A119" i="9" s="1"/>
  <c r="C117" i="9"/>
  <c r="A117" i="9" s="1"/>
  <c r="C115" i="9"/>
  <c r="A115" i="9" s="1"/>
  <c r="C113" i="9"/>
  <c r="A113" i="9" s="1"/>
  <c r="C111" i="9"/>
  <c r="A111" i="9" s="1"/>
  <c r="D109" i="9"/>
  <c r="G109" i="9" s="1"/>
  <c r="D107" i="9"/>
  <c r="G107" i="9" s="1"/>
  <c r="D105" i="9"/>
  <c r="D103" i="9"/>
  <c r="G103" i="9" s="1"/>
  <c r="D101" i="9"/>
  <c r="G101" i="9" s="1"/>
  <c r="D99" i="9"/>
  <c r="G99" i="9" s="1"/>
  <c r="D97" i="9"/>
  <c r="D95" i="9"/>
  <c r="G95" i="9" s="1"/>
  <c r="D93" i="9"/>
  <c r="E91" i="9"/>
  <c r="E89" i="9"/>
  <c r="E87" i="9"/>
  <c r="E84" i="9"/>
  <c r="E82" i="9"/>
  <c r="E80" i="9"/>
  <c r="E78" i="9"/>
  <c r="E77" i="9"/>
  <c r="E75" i="9"/>
  <c r="E73" i="9"/>
  <c r="E71" i="9"/>
  <c r="E69" i="9"/>
  <c r="E67" i="9"/>
  <c r="E65" i="9"/>
  <c r="E63" i="9"/>
  <c r="E61" i="9"/>
  <c r="E59" i="9"/>
  <c r="F57" i="9"/>
  <c r="F55" i="9"/>
  <c r="C52" i="9"/>
  <c r="A52" i="9" s="1"/>
  <c r="C50" i="9"/>
  <c r="A50" i="9" s="1"/>
  <c r="C49" i="9"/>
  <c r="A49" i="9" s="1"/>
  <c r="C47" i="9"/>
  <c r="A47" i="9" s="1"/>
  <c r="C45" i="9"/>
  <c r="A45" i="9" s="1"/>
  <c r="C43" i="9"/>
  <c r="A43" i="9" s="1"/>
  <c r="C40" i="9"/>
  <c r="A40" i="9" s="1"/>
  <c r="C38" i="9"/>
  <c r="A38" i="9" s="1"/>
  <c r="C36" i="9"/>
  <c r="A36" i="9" s="1"/>
  <c r="C34" i="9"/>
  <c r="A34" i="9" s="1"/>
  <c r="C32" i="9"/>
  <c r="A32" i="9" s="1"/>
  <c r="C30" i="9"/>
  <c r="A30" i="9" s="1"/>
  <c r="C28" i="9"/>
  <c r="A28" i="9" s="1"/>
  <c r="C26" i="9"/>
  <c r="A26" i="9" s="1"/>
  <c r="D24" i="9"/>
  <c r="D23" i="9"/>
  <c r="G23" i="9" s="1"/>
  <c r="D21" i="9"/>
  <c r="G21" i="9" s="1"/>
  <c r="D19" i="9"/>
  <c r="D17" i="9"/>
  <c r="G17" i="9" s="1"/>
  <c r="D15" i="9"/>
  <c r="G15" i="9" s="1"/>
  <c r="D13" i="9"/>
  <c r="G13" i="9" s="1"/>
  <c r="D123" i="9"/>
  <c r="G123" i="9" s="1"/>
  <c r="D121" i="9"/>
  <c r="D119" i="9"/>
  <c r="G119" i="9" s="1"/>
  <c r="D117" i="9"/>
  <c r="G117" i="9" s="1"/>
  <c r="D115" i="9"/>
  <c r="G115" i="9" s="1"/>
  <c r="D113" i="9"/>
  <c r="D111" i="9"/>
  <c r="G111" i="9" s="1"/>
  <c r="E109" i="9"/>
  <c r="E107" i="9"/>
  <c r="E105" i="9"/>
  <c r="E103" i="9"/>
  <c r="E101" i="9"/>
  <c r="E99" i="9"/>
  <c r="E97" i="9"/>
  <c r="E95" i="9"/>
  <c r="E93" i="9"/>
  <c r="F91" i="9"/>
  <c r="F89" i="9"/>
  <c r="F87" i="9"/>
  <c r="F85" i="9"/>
  <c r="F83" i="9"/>
  <c r="F81" i="9"/>
  <c r="F79" i="9"/>
  <c r="F77" i="9"/>
  <c r="F75" i="9"/>
  <c r="F73" i="9"/>
  <c r="F71" i="9"/>
  <c r="F69" i="9"/>
  <c r="F67" i="9"/>
  <c r="F65" i="9"/>
  <c r="F63" i="9"/>
  <c r="F61" i="9"/>
  <c r="F59" i="9"/>
  <c r="C57" i="9"/>
  <c r="A57" i="9" s="1"/>
  <c r="C55" i="9"/>
  <c r="A55" i="9" s="1"/>
  <c r="D53" i="9"/>
  <c r="G53" i="9" s="1"/>
  <c r="D51" i="9"/>
  <c r="D49" i="9"/>
  <c r="G49" i="9" s="1"/>
  <c r="D47" i="9"/>
  <c r="G47" i="9" s="1"/>
  <c r="D45" i="9"/>
  <c r="D43" i="9"/>
  <c r="D41" i="9"/>
  <c r="G41" i="9" s="1"/>
  <c r="D39" i="9"/>
  <c r="G39" i="9" s="1"/>
  <c r="D37" i="9"/>
  <c r="G37" i="9" s="1"/>
  <c r="D36" i="9"/>
  <c r="G36" i="9" s="1"/>
  <c r="D34" i="9"/>
  <c r="D32" i="9"/>
  <c r="D30" i="9"/>
  <c r="D28" i="9"/>
  <c r="G28" i="9" s="1"/>
  <c r="D26" i="9"/>
  <c r="E24" i="9"/>
  <c r="E22" i="9"/>
  <c r="E20" i="9"/>
  <c r="E18" i="9"/>
  <c r="E16" i="9"/>
  <c r="E14" i="9"/>
  <c r="F125" i="9"/>
  <c r="F124" i="9"/>
  <c r="F123" i="9"/>
  <c r="F122" i="9"/>
  <c r="F121" i="9"/>
  <c r="F120" i="9"/>
  <c r="F119" i="9"/>
  <c r="F118" i="9"/>
  <c r="F117" i="9"/>
  <c r="F116" i="9"/>
  <c r="F115" i="9"/>
  <c r="F114" i="9"/>
  <c r="F113" i="9"/>
  <c r="F112" i="9"/>
  <c r="F111" i="9"/>
  <c r="F110" i="9"/>
  <c r="C109" i="9"/>
  <c r="A109" i="9" s="1"/>
  <c r="C108" i="9"/>
  <c r="A108" i="9" s="1"/>
  <c r="C107" i="9"/>
  <c r="A107" i="9" s="1"/>
  <c r="C106" i="9"/>
  <c r="A106" i="9" s="1"/>
  <c r="C105" i="9"/>
  <c r="A105" i="9" s="1"/>
  <c r="C104" i="9"/>
  <c r="A104" i="9" s="1"/>
  <c r="C103" i="9"/>
  <c r="A103" i="9" s="1"/>
  <c r="C102" i="9"/>
  <c r="A102" i="9" s="1"/>
  <c r="C101" i="9"/>
  <c r="A101" i="9" s="1"/>
  <c r="C100" i="9"/>
  <c r="A100" i="9" s="1"/>
  <c r="C99" i="9"/>
  <c r="A99" i="9" s="1"/>
  <c r="C98" i="9"/>
  <c r="A98" i="9" s="1"/>
  <c r="C97" i="9"/>
  <c r="A97" i="9" s="1"/>
  <c r="C96" i="9"/>
  <c r="A96" i="9" s="1"/>
  <c r="C95" i="9"/>
  <c r="A95" i="9" s="1"/>
  <c r="C94" i="9"/>
  <c r="A94" i="9" s="1"/>
  <c r="C93" i="9"/>
  <c r="A93" i="9" s="1"/>
  <c r="C92" i="9"/>
  <c r="A92" i="9" s="1"/>
  <c r="D91" i="9"/>
  <c r="G91" i="9" s="1"/>
  <c r="D90" i="9"/>
  <c r="G90" i="9" s="1"/>
  <c r="D89" i="9"/>
  <c r="D88" i="9"/>
  <c r="G88" i="9" s="1"/>
  <c r="D87" i="9"/>
  <c r="G87" i="9" s="1"/>
  <c r="D86" i="9"/>
  <c r="G86" i="9" s="1"/>
  <c r="D85" i="9"/>
  <c r="G85" i="9" s="1"/>
  <c r="D84" i="9"/>
  <c r="G84" i="9" s="1"/>
  <c r="D83" i="9"/>
  <c r="D82" i="9"/>
  <c r="D81" i="9"/>
  <c r="G81" i="9" s="1"/>
  <c r="D80" i="9"/>
  <c r="D79" i="9"/>
  <c r="G79" i="9" s="1"/>
  <c r="D78" i="9"/>
  <c r="D77" i="9"/>
  <c r="D76" i="9"/>
  <c r="G76" i="9" s="1"/>
  <c r="D75" i="9"/>
  <c r="D74" i="9"/>
  <c r="G74" i="9" s="1"/>
  <c r="D73" i="9"/>
  <c r="G73" i="9" s="1"/>
  <c r="D72" i="9"/>
  <c r="D71" i="9"/>
  <c r="G71" i="9" s="1"/>
  <c r="D70" i="9"/>
  <c r="D69" i="9"/>
  <c r="G69" i="9" s="1"/>
  <c r="D68" i="9"/>
  <c r="G68" i="9" s="1"/>
  <c r="D67" i="9"/>
  <c r="D66" i="9"/>
  <c r="D65" i="9"/>
  <c r="G65" i="9" s="1"/>
  <c r="D64" i="9"/>
  <c r="D63" i="9"/>
  <c r="G63" i="9" s="1"/>
  <c r="D62" i="9"/>
  <c r="D61" i="9"/>
  <c r="D60" i="9"/>
  <c r="G60" i="9" s="1"/>
  <c r="D59" i="9"/>
  <c r="D58" i="9"/>
  <c r="E57" i="9"/>
  <c r="E56" i="9"/>
  <c r="E55" i="9"/>
  <c r="E54" i="9"/>
  <c r="F53" i="9"/>
  <c r="F52" i="9"/>
  <c r="F51" i="9"/>
  <c r="F50" i="9"/>
  <c r="F49" i="9"/>
  <c r="F48" i="9"/>
  <c r="F47" i="9"/>
  <c r="F46" i="9"/>
  <c r="F45" i="9"/>
  <c r="F44" i="9"/>
  <c r="F43" i="9"/>
  <c r="F42" i="9"/>
  <c r="F41" i="9"/>
  <c r="F40" i="9"/>
  <c r="F39" i="9"/>
  <c r="F38" i="9"/>
  <c r="F37" i="9"/>
  <c r="F36" i="9"/>
  <c r="F35" i="9"/>
  <c r="F34" i="9"/>
  <c r="F33" i="9"/>
  <c r="F32" i="9"/>
  <c r="F31" i="9"/>
  <c r="F30" i="9"/>
  <c r="F29" i="9"/>
  <c r="F28" i="9"/>
  <c r="F27" i="9"/>
  <c r="F26" i="9"/>
  <c r="C25" i="9"/>
  <c r="A25" i="9" s="1"/>
  <c r="C24" i="9"/>
  <c r="A24" i="9" s="1"/>
  <c r="C23" i="9"/>
  <c r="A23" i="9" s="1"/>
  <c r="C22" i="9"/>
  <c r="A22" i="9" s="1"/>
  <c r="C21" i="9"/>
  <c r="A21" i="9" s="1"/>
  <c r="C20" i="9"/>
  <c r="A20" i="9" s="1"/>
  <c r="C19" i="9"/>
  <c r="A19" i="9" s="1"/>
  <c r="C18" i="9"/>
  <c r="A18" i="9" s="1"/>
  <c r="C17" i="9"/>
  <c r="A17" i="9" s="1"/>
  <c r="C16" i="9"/>
  <c r="A16" i="9" s="1"/>
  <c r="C15" i="9"/>
  <c r="A15" i="9" s="1"/>
  <c r="C14" i="9"/>
  <c r="A14" i="9" s="1"/>
  <c r="C13" i="9"/>
  <c r="A13" i="9" s="1"/>
  <c r="C125" i="9"/>
  <c r="A125" i="9" s="1"/>
  <c r="C123" i="9"/>
  <c r="A123" i="9" s="1"/>
  <c r="C120" i="9"/>
  <c r="A120" i="9" s="1"/>
  <c r="C118" i="9"/>
  <c r="A118" i="9" s="1"/>
  <c r="C116" i="9"/>
  <c r="A116" i="9" s="1"/>
  <c r="C114" i="9"/>
  <c r="A114" i="9" s="1"/>
  <c r="C112" i="9"/>
  <c r="A112" i="9" s="1"/>
  <c r="C110" i="9"/>
  <c r="A110" i="9" s="1"/>
  <c r="D108" i="9"/>
  <c r="G108" i="9" s="1"/>
  <c r="D106" i="9"/>
  <c r="G106" i="9" s="1"/>
  <c r="D104" i="9"/>
  <c r="G104" i="9" s="1"/>
  <c r="D102" i="9"/>
  <c r="G102" i="9" s="1"/>
  <c r="D100" i="9"/>
  <c r="G100" i="9" s="1"/>
  <c r="D98" i="9"/>
  <c r="G98" i="9" s="1"/>
  <c r="D96" i="9"/>
  <c r="G96" i="9" s="1"/>
  <c r="D94" i="9"/>
  <c r="G94" i="9" s="1"/>
  <c r="D92" i="9"/>
  <c r="G92" i="9" s="1"/>
  <c r="E90" i="9"/>
  <c r="E88" i="9"/>
  <c r="E86" i="9"/>
  <c r="E85" i="9"/>
  <c r="E83" i="9"/>
  <c r="E81" i="9"/>
  <c r="E79" i="9"/>
  <c r="E76" i="9"/>
  <c r="E74" i="9"/>
  <c r="E72" i="9"/>
  <c r="E70" i="9"/>
  <c r="E68" i="9"/>
  <c r="E66" i="9"/>
  <c r="E64" i="9"/>
  <c r="E62" i="9"/>
  <c r="E60" i="9"/>
  <c r="E58" i="9"/>
  <c r="F56" i="9"/>
  <c r="F54" i="9"/>
  <c r="C53" i="9"/>
  <c r="A53" i="9" s="1"/>
  <c r="C51" i="9"/>
  <c r="A51" i="9" s="1"/>
  <c r="C48" i="9"/>
  <c r="A48" i="9" s="1"/>
  <c r="C46" i="9"/>
  <c r="A46" i="9" s="1"/>
  <c r="C44" i="9"/>
  <c r="A44" i="9" s="1"/>
  <c r="C42" i="9"/>
  <c r="A42" i="9" s="1"/>
  <c r="C41" i="9"/>
  <c r="A41" i="9" s="1"/>
  <c r="C39" i="9"/>
  <c r="A39" i="9" s="1"/>
  <c r="C37" i="9"/>
  <c r="A37" i="9" s="1"/>
  <c r="C35" i="9"/>
  <c r="A35" i="9" s="1"/>
  <c r="C33" i="9"/>
  <c r="A33" i="9" s="1"/>
  <c r="C31" i="9"/>
  <c r="A31" i="9" s="1"/>
  <c r="C29" i="9"/>
  <c r="A29" i="9" s="1"/>
  <c r="C27" i="9"/>
  <c r="A27" i="9" s="1"/>
  <c r="D25" i="9"/>
  <c r="G25" i="9" s="1"/>
  <c r="D22" i="9"/>
  <c r="D20" i="9"/>
  <c r="G20" i="9" s="1"/>
  <c r="D18" i="9"/>
  <c r="D16" i="9"/>
  <c r="D14" i="9"/>
  <c r="D125" i="9"/>
  <c r="G125" i="9" s="1"/>
  <c r="D124" i="9"/>
  <c r="G124" i="9" s="1"/>
  <c r="D122" i="9"/>
  <c r="G122" i="9" s="1"/>
  <c r="D120" i="9"/>
  <c r="G120" i="9" s="1"/>
  <c r="D118" i="9"/>
  <c r="G118" i="9" s="1"/>
  <c r="D116" i="9"/>
  <c r="G116" i="9" s="1"/>
  <c r="D114" i="9"/>
  <c r="G114" i="9" s="1"/>
  <c r="D112" i="9"/>
  <c r="G112" i="9" s="1"/>
  <c r="D110" i="9"/>
  <c r="G110" i="9" s="1"/>
  <c r="E108" i="9"/>
  <c r="E106" i="9"/>
  <c r="E104" i="9"/>
  <c r="E102" i="9"/>
  <c r="E100" i="9"/>
  <c r="E98" i="9"/>
  <c r="E96" i="9"/>
  <c r="E94" i="9"/>
  <c r="E92" i="9"/>
  <c r="F90" i="9"/>
  <c r="F88" i="9"/>
  <c r="F86" i="9"/>
  <c r="F84" i="9"/>
  <c r="F82" i="9"/>
  <c r="F80" i="9"/>
  <c r="F78" i="9"/>
  <c r="F76" i="9"/>
  <c r="F74" i="9"/>
  <c r="F72" i="9"/>
  <c r="F70" i="9"/>
  <c r="F68" i="9"/>
  <c r="F66" i="9"/>
  <c r="F64" i="9"/>
  <c r="F62" i="9"/>
  <c r="F60" i="9"/>
  <c r="F58" i="9"/>
  <c r="C56" i="9"/>
  <c r="A56" i="9" s="1"/>
  <c r="C54" i="9"/>
  <c r="A54" i="9" s="1"/>
  <c r="D52" i="9"/>
  <c r="G52" i="9" s="1"/>
  <c r="D50" i="9"/>
  <c r="D48" i="9"/>
  <c r="D46" i="9"/>
  <c r="D44" i="9"/>
  <c r="G44" i="9" s="1"/>
  <c r="D42" i="9"/>
  <c r="G42" i="9" s="1"/>
  <c r="D40" i="9"/>
  <c r="D38" i="9"/>
  <c r="D35" i="9"/>
  <c r="D33" i="9"/>
  <c r="G33" i="9" s="1"/>
  <c r="D31" i="9"/>
  <c r="G31" i="9" s="1"/>
  <c r="D29" i="9"/>
  <c r="D27" i="9"/>
  <c r="E25" i="9"/>
  <c r="E23" i="9"/>
  <c r="E21" i="9"/>
  <c r="E19" i="9"/>
  <c r="E17" i="9"/>
  <c r="E15" i="9"/>
  <c r="E13" i="9"/>
  <c r="D12" i="9"/>
  <c r="D11" i="9"/>
  <c r="G11" i="9" s="1"/>
  <c r="D10" i="9"/>
  <c r="G10" i="9" s="1"/>
  <c r="D9" i="9"/>
  <c r="G9" i="9" s="1"/>
  <c r="D8" i="9"/>
  <c r="G8" i="9" s="1"/>
  <c r="F12" i="9"/>
  <c r="F10" i="9"/>
  <c r="F8" i="9"/>
  <c r="C11" i="9"/>
  <c r="A11" i="9" s="1"/>
  <c r="C9" i="9"/>
  <c r="A9" i="9" s="1"/>
  <c r="C8" i="9"/>
  <c r="A8" i="9" s="1"/>
  <c r="E12" i="9"/>
  <c r="E11" i="9"/>
  <c r="E10" i="9"/>
  <c r="E9" i="9"/>
  <c r="E8" i="9"/>
  <c r="F11" i="9"/>
  <c r="H11" i="9" s="1"/>
  <c r="F9" i="9"/>
  <c r="C12" i="9"/>
  <c r="A12" i="9" s="1"/>
  <c r="C10" i="9"/>
  <c r="A10" i="9" s="1"/>
  <c r="D7" i="9"/>
  <c r="G7" i="9" s="1"/>
  <c r="C7" i="9"/>
  <c r="A7" i="9" s="1"/>
  <c r="E7" i="9"/>
  <c r="F7" i="9"/>
  <c r="H7" i="9" s="1"/>
  <c r="F6" i="9"/>
  <c r="D6" i="9"/>
  <c r="E6" i="9"/>
  <c r="C6" i="9"/>
  <c r="A6" i="9" s="1"/>
  <c r="F130" i="18"/>
  <c r="E130" i="18"/>
  <c r="D130" i="18"/>
  <c r="F125" i="18"/>
  <c r="E125" i="18"/>
  <c r="D125" i="18"/>
  <c r="C125" i="18"/>
  <c r="A125" i="18" s="1"/>
  <c r="F124" i="18"/>
  <c r="E124" i="18"/>
  <c r="D124" i="18"/>
  <c r="C124" i="18"/>
  <c r="A124" i="18" s="1"/>
  <c r="F123" i="18"/>
  <c r="E123" i="18"/>
  <c r="D123" i="18"/>
  <c r="C123" i="18"/>
  <c r="A123" i="18" s="1"/>
  <c r="F122" i="18"/>
  <c r="E122" i="18"/>
  <c r="D122" i="18"/>
  <c r="C122" i="18"/>
  <c r="A122" i="18" s="1"/>
  <c r="F121" i="18"/>
  <c r="E121" i="18"/>
  <c r="D121" i="18"/>
  <c r="C121" i="18"/>
  <c r="A121" i="18" s="1"/>
  <c r="F120" i="18"/>
  <c r="E120" i="18"/>
  <c r="D120" i="18"/>
  <c r="C120" i="18"/>
  <c r="A120" i="18" s="1"/>
  <c r="F119" i="18"/>
  <c r="E119" i="18"/>
  <c r="D119" i="18"/>
  <c r="C119" i="18"/>
  <c r="A119" i="18" s="1"/>
  <c r="F118" i="18"/>
  <c r="E118" i="18"/>
  <c r="D118" i="18"/>
  <c r="C118" i="18"/>
  <c r="A118" i="18" s="1"/>
  <c r="F117" i="18"/>
  <c r="E117" i="18"/>
  <c r="D117" i="18"/>
  <c r="C117" i="18"/>
  <c r="A117" i="18" s="1"/>
  <c r="F116" i="18"/>
  <c r="E116" i="18"/>
  <c r="D116" i="18"/>
  <c r="C116" i="18"/>
  <c r="A116" i="18" s="1"/>
  <c r="F115" i="18"/>
  <c r="E115" i="18"/>
  <c r="D115" i="18"/>
  <c r="C115" i="18"/>
  <c r="A115" i="18" s="1"/>
  <c r="F114" i="18"/>
  <c r="E114" i="18"/>
  <c r="D114" i="18"/>
  <c r="C114" i="18"/>
  <c r="A114" i="18" s="1"/>
  <c r="F113" i="18"/>
  <c r="E113" i="18"/>
  <c r="D113" i="18"/>
  <c r="C113" i="18"/>
  <c r="A113" i="18" s="1"/>
  <c r="F112" i="18"/>
  <c r="E112" i="18"/>
  <c r="D112" i="18"/>
  <c r="C112" i="18"/>
  <c r="A112" i="18" s="1"/>
  <c r="F111" i="18"/>
  <c r="E111" i="18"/>
  <c r="D111" i="18"/>
  <c r="C111" i="18"/>
  <c r="A111" i="18" s="1"/>
  <c r="F110" i="18"/>
  <c r="E110" i="18"/>
  <c r="D110" i="18"/>
  <c r="C110" i="18"/>
  <c r="A110" i="18" s="1"/>
  <c r="F109" i="18"/>
  <c r="E109" i="18"/>
  <c r="D109" i="18"/>
  <c r="C109" i="18"/>
  <c r="A109" i="18" s="1"/>
  <c r="F108" i="18"/>
  <c r="E108" i="18"/>
  <c r="D108" i="18"/>
  <c r="C108" i="18"/>
  <c r="A108" i="18" s="1"/>
  <c r="F107" i="18"/>
  <c r="E107" i="18"/>
  <c r="D107" i="18"/>
  <c r="C107" i="18"/>
  <c r="A107" i="18" s="1"/>
  <c r="F106" i="18"/>
  <c r="E106" i="18"/>
  <c r="D106" i="18"/>
  <c r="C106" i="18"/>
  <c r="A106" i="18" s="1"/>
  <c r="F105" i="18"/>
  <c r="E105" i="18"/>
  <c r="D105" i="18"/>
  <c r="C105" i="18"/>
  <c r="A105" i="18" s="1"/>
  <c r="F104" i="18"/>
  <c r="E104" i="18"/>
  <c r="D104" i="18"/>
  <c r="C104" i="18"/>
  <c r="A104" i="18" s="1"/>
  <c r="F103" i="18"/>
  <c r="E103" i="18"/>
  <c r="D103" i="18"/>
  <c r="C103" i="18"/>
  <c r="A103" i="18" s="1"/>
  <c r="F102" i="18"/>
  <c r="E102" i="18"/>
  <c r="D102" i="18"/>
  <c r="C102" i="18"/>
  <c r="A102" i="18" s="1"/>
  <c r="F101" i="18"/>
  <c r="E101" i="18"/>
  <c r="D101" i="18"/>
  <c r="C101" i="18"/>
  <c r="A101" i="18" s="1"/>
  <c r="F100" i="18"/>
  <c r="E100" i="18"/>
  <c r="D100" i="18"/>
  <c r="C100" i="18"/>
  <c r="A100" i="18" s="1"/>
  <c r="F99" i="18"/>
  <c r="E99" i="18"/>
  <c r="D99" i="18"/>
  <c r="C99" i="18"/>
  <c r="A99" i="18" s="1"/>
  <c r="F98" i="18"/>
  <c r="E98" i="18"/>
  <c r="D98" i="18"/>
  <c r="C98" i="18"/>
  <c r="A98" i="18" s="1"/>
  <c r="F97" i="18"/>
  <c r="E97" i="18"/>
  <c r="D97" i="18"/>
  <c r="C97" i="18"/>
  <c r="A97" i="18" s="1"/>
  <c r="F96" i="18"/>
  <c r="E96" i="18"/>
  <c r="D96" i="18"/>
  <c r="C96" i="18"/>
  <c r="A96" i="18" s="1"/>
  <c r="F95" i="18"/>
  <c r="E95" i="18"/>
  <c r="D95" i="18"/>
  <c r="C95" i="18"/>
  <c r="A95" i="18" s="1"/>
  <c r="F94" i="18"/>
  <c r="E94" i="18"/>
  <c r="D94" i="18"/>
  <c r="C94" i="18"/>
  <c r="A94" i="18" s="1"/>
  <c r="F93" i="18"/>
  <c r="E93" i="18"/>
  <c r="D93" i="18"/>
  <c r="C93" i="18"/>
  <c r="A93" i="18" s="1"/>
  <c r="F92" i="18"/>
  <c r="E92" i="18"/>
  <c r="D92" i="18"/>
  <c r="C92" i="18"/>
  <c r="A92" i="18" s="1"/>
  <c r="F91" i="18"/>
  <c r="E91" i="18"/>
  <c r="D91" i="18"/>
  <c r="C91" i="18"/>
  <c r="A91" i="18" s="1"/>
  <c r="F90" i="18"/>
  <c r="E90" i="18"/>
  <c r="D90" i="18"/>
  <c r="C90" i="18"/>
  <c r="A90" i="18" s="1"/>
  <c r="F89" i="18"/>
  <c r="E89" i="18"/>
  <c r="D89" i="18"/>
  <c r="C89" i="18"/>
  <c r="A89" i="18" s="1"/>
  <c r="F88" i="18"/>
  <c r="E88" i="18"/>
  <c r="D88" i="18"/>
  <c r="C88" i="18"/>
  <c r="A88" i="18" s="1"/>
  <c r="F87" i="18"/>
  <c r="E87" i="18"/>
  <c r="D87" i="18"/>
  <c r="C87" i="18"/>
  <c r="A87" i="18" s="1"/>
  <c r="F86" i="18"/>
  <c r="E86" i="18"/>
  <c r="D86" i="18"/>
  <c r="C86" i="18"/>
  <c r="A86" i="18" s="1"/>
  <c r="F85" i="18"/>
  <c r="E85" i="18"/>
  <c r="D85" i="18"/>
  <c r="C85" i="18"/>
  <c r="A85" i="18" s="1"/>
  <c r="F84" i="18"/>
  <c r="E84" i="18"/>
  <c r="D84" i="18"/>
  <c r="C84" i="18"/>
  <c r="A84" i="18" s="1"/>
  <c r="F83" i="18"/>
  <c r="E83" i="18"/>
  <c r="D83" i="18"/>
  <c r="C83" i="18"/>
  <c r="A83" i="18" s="1"/>
  <c r="F82" i="18"/>
  <c r="E82" i="18"/>
  <c r="D82" i="18"/>
  <c r="C82" i="18"/>
  <c r="A82" i="18" s="1"/>
  <c r="F81" i="18"/>
  <c r="E81" i="18"/>
  <c r="D81" i="18"/>
  <c r="C81" i="18"/>
  <c r="A81" i="18" s="1"/>
  <c r="F80" i="18"/>
  <c r="E80" i="18"/>
  <c r="D80" i="18"/>
  <c r="C80" i="18"/>
  <c r="A80" i="18" s="1"/>
  <c r="F79" i="18"/>
  <c r="E79" i="18"/>
  <c r="D79" i="18"/>
  <c r="C79" i="18"/>
  <c r="A79" i="18" s="1"/>
  <c r="F78" i="18"/>
  <c r="E78" i="18"/>
  <c r="D78" i="18"/>
  <c r="C78" i="18"/>
  <c r="A78" i="18" s="1"/>
  <c r="F77" i="18"/>
  <c r="E77" i="18"/>
  <c r="D77" i="18"/>
  <c r="C77" i="18"/>
  <c r="A77" i="18" s="1"/>
  <c r="F76" i="18"/>
  <c r="E76" i="18"/>
  <c r="D76" i="18"/>
  <c r="C76" i="18"/>
  <c r="A76" i="18" s="1"/>
  <c r="F75" i="18"/>
  <c r="E75" i="18"/>
  <c r="D75" i="18"/>
  <c r="C75" i="18"/>
  <c r="A75" i="18" s="1"/>
  <c r="F74" i="18"/>
  <c r="E74" i="18"/>
  <c r="D74" i="18"/>
  <c r="C74" i="18"/>
  <c r="A74" i="18" s="1"/>
  <c r="F73" i="18"/>
  <c r="E73" i="18"/>
  <c r="D73" i="18"/>
  <c r="C73" i="18"/>
  <c r="A73" i="18" s="1"/>
  <c r="F72" i="18"/>
  <c r="E72" i="18"/>
  <c r="D72" i="18"/>
  <c r="C72" i="18"/>
  <c r="A72" i="18" s="1"/>
  <c r="F71" i="18"/>
  <c r="E71" i="18"/>
  <c r="D71" i="18"/>
  <c r="C71" i="18"/>
  <c r="A71" i="18" s="1"/>
  <c r="F70" i="18"/>
  <c r="E70" i="18"/>
  <c r="D70" i="18"/>
  <c r="C70" i="18"/>
  <c r="A70" i="18" s="1"/>
  <c r="F69" i="18"/>
  <c r="E69" i="18"/>
  <c r="D69" i="18"/>
  <c r="C69" i="18"/>
  <c r="A69" i="18" s="1"/>
  <c r="F68" i="18"/>
  <c r="E68" i="18"/>
  <c r="D68" i="18"/>
  <c r="C68" i="18"/>
  <c r="A68" i="18" s="1"/>
  <c r="F67" i="18"/>
  <c r="E67" i="18"/>
  <c r="D67" i="18"/>
  <c r="C67" i="18"/>
  <c r="A67" i="18" s="1"/>
  <c r="F66" i="18"/>
  <c r="E66" i="18"/>
  <c r="D66" i="18"/>
  <c r="C66" i="18"/>
  <c r="A66" i="18" s="1"/>
  <c r="F65" i="18"/>
  <c r="E65" i="18"/>
  <c r="D65" i="18"/>
  <c r="C65" i="18"/>
  <c r="A65" i="18" s="1"/>
  <c r="F64" i="18"/>
  <c r="E64" i="18"/>
  <c r="D64" i="18"/>
  <c r="C64" i="18"/>
  <c r="A64" i="18" s="1"/>
  <c r="F63" i="18"/>
  <c r="E63" i="18"/>
  <c r="D63" i="18"/>
  <c r="C63" i="18"/>
  <c r="A63" i="18" s="1"/>
  <c r="F62" i="18"/>
  <c r="E62" i="18"/>
  <c r="D62" i="18"/>
  <c r="C62" i="18"/>
  <c r="A62" i="18" s="1"/>
  <c r="F61" i="18"/>
  <c r="E61" i="18"/>
  <c r="D61" i="18"/>
  <c r="C61" i="18"/>
  <c r="A61" i="18" s="1"/>
  <c r="F60" i="18"/>
  <c r="E60" i="18"/>
  <c r="D60" i="18"/>
  <c r="C60" i="18"/>
  <c r="A60" i="18" s="1"/>
  <c r="F59" i="18"/>
  <c r="E59" i="18"/>
  <c r="D59" i="18"/>
  <c r="C59" i="18"/>
  <c r="A59" i="18" s="1"/>
  <c r="F58" i="18"/>
  <c r="E58" i="18"/>
  <c r="D58" i="18"/>
  <c r="C58" i="18"/>
  <c r="A58" i="18" s="1"/>
  <c r="F57" i="18"/>
  <c r="E57" i="18"/>
  <c r="D57" i="18"/>
  <c r="C57" i="18"/>
  <c r="A57" i="18" s="1"/>
  <c r="F56" i="18"/>
  <c r="E56" i="18"/>
  <c r="D56" i="18"/>
  <c r="C56" i="18"/>
  <c r="A56" i="18" s="1"/>
  <c r="F55" i="18"/>
  <c r="E55" i="18"/>
  <c r="D55" i="18"/>
  <c r="C55" i="18"/>
  <c r="A55" i="18" s="1"/>
  <c r="F54" i="18"/>
  <c r="E54" i="18"/>
  <c r="D54" i="18"/>
  <c r="C54" i="18"/>
  <c r="A54" i="18" s="1"/>
  <c r="F53" i="18"/>
  <c r="E53" i="18"/>
  <c r="D53" i="18"/>
  <c r="C53" i="18"/>
  <c r="A53" i="18" s="1"/>
  <c r="F52" i="18"/>
  <c r="E52" i="18"/>
  <c r="D52" i="18"/>
  <c r="C52" i="18"/>
  <c r="A52" i="18" s="1"/>
  <c r="F51" i="18"/>
  <c r="E51" i="18"/>
  <c r="D51" i="18"/>
  <c r="C51" i="18"/>
  <c r="A51" i="18" s="1"/>
  <c r="F50" i="18"/>
  <c r="E50" i="18"/>
  <c r="D50" i="18"/>
  <c r="C50" i="18"/>
  <c r="A50" i="18" s="1"/>
  <c r="F49" i="18"/>
  <c r="E49" i="18"/>
  <c r="D49" i="18"/>
  <c r="C49" i="18"/>
  <c r="A49" i="18" s="1"/>
  <c r="F48" i="18"/>
  <c r="E48" i="18"/>
  <c r="D48" i="18"/>
  <c r="C48" i="18"/>
  <c r="A48" i="18" s="1"/>
  <c r="F47" i="18"/>
  <c r="E47" i="18"/>
  <c r="D47" i="18"/>
  <c r="C47" i="18"/>
  <c r="A47" i="18" s="1"/>
  <c r="F46" i="18"/>
  <c r="E46" i="18"/>
  <c r="D46" i="18"/>
  <c r="C46" i="18"/>
  <c r="A46" i="18" s="1"/>
  <c r="F45" i="18"/>
  <c r="E45" i="18"/>
  <c r="D45" i="18"/>
  <c r="C45" i="18"/>
  <c r="A45" i="18" s="1"/>
  <c r="F44" i="18"/>
  <c r="E44" i="18"/>
  <c r="D44" i="18"/>
  <c r="C44" i="18"/>
  <c r="A44" i="18" s="1"/>
  <c r="F43" i="18"/>
  <c r="E43" i="18"/>
  <c r="D43" i="18"/>
  <c r="C43" i="18"/>
  <c r="A43" i="18" s="1"/>
  <c r="F42" i="18"/>
  <c r="E42" i="18"/>
  <c r="D42" i="18"/>
  <c r="C42" i="18"/>
  <c r="A42" i="18" s="1"/>
  <c r="F41" i="18"/>
  <c r="E41" i="18"/>
  <c r="D41" i="18"/>
  <c r="C41" i="18"/>
  <c r="A41" i="18" s="1"/>
  <c r="F40" i="18"/>
  <c r="E40" i="18"/>
  <c r="D40" i="18"/>
  <c r="C40" i="18"/>
  <c r="A40" i="18" s="1"/>
  <c r="F39" i="18"/>
  <c r="E39" i="18"/>
  <c r="D39" i="18"/>
  <c r="C39" i="18"/>
  <c r="A39" i="18" s="1"/>
  <c r="F38" i="18"/>
  <c r="E38" i="18"/>
  <c r="D38" i="18"/>
  <c r="C38" i="18"/>
  <c r="A38" i="18" s="1"/>
  <c r="F37" i="18"/>
  <c r="E37" i="18"/>
  <c r="D37" i="18"/>
  <c r="C37" i="18"/>
  <c r="A37" i="18" s="1"/>
  <c r="F36" i="18"/>
  <c r="E36" i="18"/>
  <c r="D36" i="18"/>
  <c r="C36" i="18"/>
  <c r="A36" i="18" s="1"/>
  <c r="F35" i="18"/>
  <c r="E35" i="18"/>
  <c r="D35" i="18"/>
  <c r="C35" i="18"/>
  <c r="A35" i="18" s="1"/>
  <c r="F34" i="18"/>
  <c r="E34" i="18"/>
  <c r="D34" i="18"/>
  <c r="C34" i="18"/>
  <c r="A34" i="18" s="1"/>
  <c r="F33" i="18"/>
  <c r="E33" i="18"/>
  <c r="D33" i="18"/>
  <c r="C33" i="18"/>
  <c r="A33" i="18" s="1"/>
  <c r="F32" i="18"/>
  <c r="E32" i="18"/>
  <c r="D32" i="18"/>
  <c r="C32" i="18"/>
  <c r="A32" i="18" s="1"/>
  <c r="F31" i="18"/>
  <c r="E31" i="18"/>
  <c r="D31" i="18"/>
  <c r="C31" i="18"/>
  <c r="A31" i="18" s="1"/>
  <c r="F30" i="18"/>
  <c r="E30" i="18"/>
  <c r="D30" i="18"/>
  <c r="C30" i="18"/>
  <c r="A30" i="18" s="1"/>
  <c r="F29" i="18"/>
  <c r="E29" i="18"/>
  <c r="D29" i="18"/>
  <c r="C29" i="18"/>
  <c r="A29" i="18" s="1"/>
  <c r="F28" i="18"/>
  <c r="E28" i="18"/>
  <c r="D28" i="18"/>
  <c r="C28" i="18"/>
  <c r="A28" i="18" s="1"/>
  <c r="F27" i="18"/>
  <c r="E27" i="18"/>
  <c r="D27" i="18"/>
  <c r="C27" i="18"/>
  <c r="A27" i="18" s="1"/>
  <c r="F26" i="18"/>
  <c r="E26" i="18"/>
  <c r="D26" i="18"/>
  <c r="C26" i="18"/>
  <c r="A26" i="18" s="1"/>
  <c r="F25" i="18"/>
  <c r="E25" i="18"/>
  <c r="D25" i="18"/>
  <c r="C25" i="18"/>
  <c r="A25" i="18" s="1"/>
  <c r="F24" i="18"/>
  <c r="E24" i="18"/>
  <c r="D24" i="18"/>
  <c r="C24" i="18"/>
  <c r="A24" i="18" s="1"/>
  <c r="F23" i="18"/>
  <c r="E23" i="18"/>
  <c r="D23" i="18"/>
  <c r="C23" i="18"/>
  <c r="A23" i="18" s="1"/>
  <c r="F22" i="18"/>
  <c r="E22" i="18"/>
  <c r="D22" i="18"/>
  <c r="C22" i="18"/>
  <c r="A22" i="18" s="1"/>
  <c r="F21" i="18"/>
  <c r="E21" i="18"/>
  <c r="D21" i="18"/>
  <c r="C21" i="18"/>
  <c r="A21" i="18" s="1"/>
  <c r="F20" i="18"/>
  <c r="E20" i="18"/>
  <c r="D20" i="18"/>
  <c r="C20" i="18"/>
  <c r="A20" i="18" s="1"/>
  <c r="F19" i="18"/>
  <c r="E19" i="18"/>
  <c r="D19" i="18"/>
  <c r="C19" i="18"/>
  <c r="A19" i="18" s="1"/>
  <c r="F18" i="18"/>
  <c r="E18" i="18"/>
  <c r="D18" i="18"/>
  <c r="C18" i="18"/>
  <c r="A18" i="18" s="1"/>
  <c r="F17" i="18"/>
  <c r="E17" i="18"/>
  <c r="D17" i="18"/>
  <c r="C17" i="18"/>
  <c r="A17" i="18" s="1"/>
  <c r="F16" i="18"/>
  <c r="E16" i="18"/>
  <c r="D16" i="18"/>
  <c r="C16" i="18"/>
  <c r="A16" i="18" s="1"/>
  <c r="F15" i="18"/>
  <c r="E15" i="18"/>
  <c r="D15" i="18"/>
  <c r="C15" i="18"/>
  <c r="A15" i="18" s="1"/>
  <c r="F14" i="18"/>
  <c r="E14" i="18"/>
  <c r="D14" i="18"/>
  <c r="C14" i="18"/>
  <c r="A14" i="18" s="1"/>
  <c r="F13" i="18"/>
  <c r="E13" i="18"/>
  <c r="D13" i="18"/>
  <c r="C13" i="18"/>
  <c r="A13" i="18" s="1"/>
  <c r="F12" i="18"/>
  <c r="E12" i="18"/>
  <c r="D12" i="18"/>
  <c r="C12" i="18"/>
  <c r="A12" i="18" s="1"/>
  <c r="F11" i="18"/>
  <c r="E11" i="18"/>
  <c r="D11" i="18"/>
  <c r="C11" i="18"/>
  <c r="A11" i="18" s="1"/>
  <c r="F10" i="18"/>
  <c r="E10" i="18"/>
  <c r="D10" i="18"/>
  <c r="C10" i="18"/>
  <c r="A10" i="18" s="1"/>
  <c r="F9" i="18"/>
  <c r="E9" i="18"/>
  <c r="D9" i="18"/>
  <c r="C9" i="18"/>
  <c r="A9" i="18" s="1"/>
  <c r="F8" i="18"/>
  <c r="E8" i="18"/>
  <c r="D8" i="18"/>
  <c r="C8" i="18"/>
  <c r="A8" i="18" s="1"/>
  <c r="F7" i="18"/>
  <c r="E7" i="18"/>
  <c r="D7" i="18"/>
  <c r="C7" i="18"/>
  <c r="A7" i="18" s="1"/>
  <c r="F6" i="18"/>
  <c r="E6" i="18"/>
  <c r="D6" i="18"/>
  <c r="C6" i="18"/>
  <c r="A6" i="18" s="1"/>
  <c r="I10" i="9" l="1"/>
  <c r="I8" i="9"/>
  <c r="J8" i="9" s="1"/>
  <c r="N15" i="9"/>
  <c r="N12" i="9"/>
  <c r="N14" i="9"/>
  <c r="N13" i="9"/>
  <c r="N17" i="9"/>
  <c r="N16" i="9"/>
  <c r="I13" i="9"/>
  <c r="J13" i="9" s="1"/>
  <c r="I58" i="9"/>
  <c r="J58" i="9" s="1"/>
  <c r="H58" i="9"/>
  <c r="G58" i="9" s="1"/>
  <c r="I74" i="9"/>
  <c r="J74" i="9" s="1"/>
  <c r="H74" i="9"/>
  <c r="H90" i="9"/>
  <c r="I90" i="9"/>
  <c r="J90" i="9" s="1"/>
  <c r="I56" i="9"/>
  <c r="J56" i="9" s="1"/>
  <c r="H56" i="9"/>
  <c r="G56" i="9" s="1"/>
  <c r="I30" i="9"/>
  <c r="J30" i="9" s="1"/>
  <c r="H30" i="9"/>
  <c r="G30" i="9" s="1"/>
  <c r="I38" i="9"/>
  <c r="J38" i="9" s="1"/>
  <c r="H38" i="9"/>
  <c r="G38" i="9" s="1"/>
  <c r="I46" i="9"/>
  <c r="J46" i="9" s="1"/>
  <c r="H46" i="9"/>
  <c r="G46" i="9" s="1"/>
  <c r="H110" i="9"/>
  <c r="I110" i="9"/>
  <c r="J110" i="9" s="1"/>
  <c r="H118" i="9"/>
  <c r="I118" i="9"/>
  <c r="J118" i="9" s="1"/>
  <c r="I61" i="9"/>
  <c r="J61" i="9" s="1"/>
  <c r="H61" i="9"/>
  <c r="G61" i="9" s="1"/>
  <c r="I77" i="9"/>
  <c r="J77" i="9" s="1"/>
  <c r="H77" i="9"/>
  <c r="G77" i="9" s="1"/>
  <c r="I16" i="9"/>
  <c r="J16" i="9" s="1"/>
  <c r="H16" i="9"/>
  <c r="G16" i="9" s="1"/>
  <c r="I24" i="9"/>
  <c r="J24" i="9" s="1"/>
  <c r="H24" i="9"/>
  <c r="G24" i="9" s="1"/>
  <c r="H96" i="9"/>
  <c r="I96" i="9"/>
  <c r="J96" i="9" s="1"/>
  <c r="H104" i="9"/>
  <c r="I104" i="9"/>
  <c r="J104" i="9" s="1"/>
  <c r="H122" i="19"/>
  <c r="I122" i="19" s="1"/>
  <c r="E122" i="19"/>
  <c r="A122" i="19"/>
  <c r="H24" i="19"/>
  <c r="I24" i="19" s="1"/>
  <c r="A24" i="19"/>
  <c r="E24" i="19"/>
  <c r="E45" i="19"/>
  <c r="A45" i="19"/>
  <c r="H45" i="19"/>
  <c r="I45" i="19" s="1"/>
  <c r="H44" i="19"/>
  <c r="I44" i="19" s="1"/>
  <c r="E44" i="19"/>
  <c r="A44" i="19"/>
  <c r="H35" i="19"/>
  <c r="I35" i="19" s="1"/>
  <c r="A35" i="19"/>
  <c r="E35" i="19"/>
  <c r="E116" i="19"/>
  <c r="H116" i="19"/>
  <c r="I116" i="19" s="1"/>
  <c r="A116" i="19"/>
  <c r="H19" i="19"/>
  <c r="I19" i="19" s="1"/>
  <c r="A19" i="19"/>
  <c r="E19" i="19"/>
  <c r="H26" i="19"/>
  <c r="I26" i="19" s="1"/>
  <c r="A26" i="19"/>
  <c r="E26" i="19"/>
  <c r="H98" i="19"/>
  <c r="I98" i="19" s="1"/>
  <c r="A98" i="19"/>
  <c r="E98" i="19"/>
  <c r="H47" i="19"/>
  <c r="I47" i="19" s="1"/>
  <c r="A47" i="19"/>
  <c r="E47" i="19"/>
  <c r="H126" i="19"/>
  <c r="I126" i="19" s="1"/>
  <c r="E126" i="19"/>
  <c r="A126" i="19"/>
  <c r="H9" i="19"/>
  <c r="I9" i="19" s="1"/>
  <c r="A9" i="19"/>
  <c r="E9" i="19"/>
  <c r="H10" i="9"/>
  <c r="J10" i="9"/>
  <c r="I72" i="9"/>
  <c r="J72" i="9" s="1"/>
  <c r="H72" i="9"/>
  <c r="G72" i="9" s="1"/>
  <c r="H88" i="9"/>
  <c r="I88" i="9"/>
  <c r="J88" i="9" s="1"/>
  <c r="H33" i="9"/>
  <c r="I33" i="9"/>
  <c r="J33" i="9" s="1"/>
  <c r="H41" i="9"/>
  <c r="I41" i="9"/>
  <c r="J41" i="9" s="1"/>
  <c r="H49" i="9"/>
  <c r="I49" i="9"/>
  <c r="J49" i="9" s="1"/>
  <c r="I113" i="9"/>
  <c r="J113" i="9" s="1"/>
  <c r="H113" i="9"/>
  <c r="G113" i="9" s="1"/>
  <c r="I121" i="9"/>
  <c r="J121" i="9" s="1"/>
  <c r="H121" i="9"/>
  <c r="G121" i="9" s="1"/>
  <c r="I67" i="9"/>
  <c r="J67" i="9" s="1"/>
  <c r="H67" i="9"/>
  <c r="G67" i="9" s="1"/>
  <c r="I83" i="9"/>
  <c r="J83" i="9" s="1"/>
  <c r="H83" i="9"/>
  <c r="G83" i="9" s="1"/>
  <c r="I19" i="9"/>
  <c r="J19" i="9" s="1"/>
  <c r="H19" i="9"/>
  <c r="G19" i="9" s="1"/>
  <c r="H99" i="9"/>
  <c r="I99" i="9"/>
  <c r="J99" i="9" s="1"/>
  <c r="H107" i="9"/>
  <c r="I107" i="9"/>
  <c r="J107" i="9" s="1"/>
  <c r="E34" i="19"/>
  <c r="H34" i="19"/>
  <c r="I34" i="19" s="1"/>
  <c r="A34" i="19"/>
  <c r="H106" i="19"/>
  <c r="I106" i="19" s="1"/>
  <c r="E106" i="19"/>
  <c r="A106" i="19"/>
  <c r="H22" i="19"/>
  <c r="I22" i="19" s="1"/>
  <c r="A22" i="19"/>
  <c r="E22" i="19"/>
  <c r="E109" i="19"/>
  <c r="H109" i="19"/>
  <c r="I109" i="19" s="1"/>
  <c r="A109" i="19"/>
  <c r="H111" i="19"/>
  <c r="I111" i="19" s="1"/>
  <c r="A111" i="19"/>
  <c r="E111" i="19"/>
  <c r="H46" i="19"/>
  <c r="I46" i="19" s="1"/>
  <c r="E46" i="19"/>
  <c r="A46" i="19"/>
  <c r="E68" i="19"/>
  <c r="H68" i="19"/>
  <c r="I68" i="19" s="1"/>
  <c r="A68" i="19"/>
  <c r="A59" i="19"/>
  <c r="H59" i="19"/>
  <c r="I59" i="19" s="1"/>
  <c r="E59" i="19"/>
  <c r="H89" i="19"/>
  <c r="I89" i="19" s="1"/>
  <c r="A89" i="19"/>
  <c r="E89" i="19"/>
  <c r="A83" i="19"/>
  <c r="H83" i="19"/>
  <c r="I83" i="19" s="1"/>
  <c r="E83" i="19"/>
  <c r="A11" i="19"/>
  <c r="E11" i="19"/>
  <c r="H11" i="19"/>
  <c r="I11" i="19" s="1"/>
  <c r="E74" i="19"/>
  <c r="H74" i="19"/>
  <c r="I74" i="19" s="1"/>
  <c r="A74" i="19"/>
  <c r="H101" i="19"/>
  <c r="I101" i="19" s="1"/>
  <c r="A101" i="19"/>
  <c r="E101" i="19"/>
  <c r="H97" i="19"/>
  <c r="I97" i="19" s="1"/>
  <c r="A97" i="19"/>
  <c r="E97" i="19"/>
  <c r="H48" i="19"/>
  <c r="I48" i="19" s="1"/>
  <c r="A48" i="19"/>
  <c r="E48" i="19"/>
  <c r="A112" i="19"/>
  <c r="E112" i="19"/>
  <c r="H112" i="19"/>
  <c r="I112" i="19" s="1"/>
  <c r="H20" i="19"/>
  <c r="I20" i="19" s="1"/>
  <c r="E20" i="19"/>
  <c r="A20" i="19"/>
  <c r="H105" i="19"/>
  <c r="I105" i="19" s="1"/>
  <c r="E105" i="19"/>
  <c r="A105" i="19"/>
  <c r="E118" i="19"/>
  <c r="A118" i="19"/>
  <c r="H118" i="19"/>
  <c r="I118" i="19" s="1"/>
  <c r="H107" i="19"/>
  <c r="I107" i="19" s="1"/>
  <c r="A107" i="19"/>
  <c r="E107" i="19"/>
  <c r="A12" i="19"/>
  <c r="H12" i="19"/>
  <c r="I12" i="19" s="1"/>
  <c r="H8" i="9"/>
  <c r="I62" i="9"/>
  <c r="J62" i="9" s="1"/>
  <c r="H62" i="9"/>
  <c r="G62" i="9" s="1"/>
  <c r="I70" i="9"/>
  <c r="J70" i="9" s="1"/>
  <c r="H70" i="9"/>
  <c r="G70" i="9" s="1"/>
  <c r="I78" i="9"/>
  <c r="J78" i="9" s="1"/>
  <c r="H78" i="9"/>
  <c r="G78" i="9" s="1"/>
  <c r="H86" i="9"/>
  <c r="I86" i="9"/>
  <c r="J86" i="9" s="1"/>
  <c r="I28" i="9"/>
  <c r="J28" i="9" s="1"/>
  <c r="H28" i="9"/>
  <c r="I32" i="9"/>
  <c r="J32" i="9" s="1"/>
  <c r="H32" i="9"/>
  <c r="G32" i="9" s="1"/>
  <c r="I36" i="9"/>
  <c r="J36" i="9" s="1"/>
  <c r="H36" i="9"/>
  <c r="I40" i="9"/>
  <c r="J40" i="9" s="1"/>
  <c r="H40" i="9"/>
  <c r="G40" i="9" s="1"/>
  <c r="I44" i="9"/>
  <c r="J44" i="9" s="1"/>
  <c r="H44" i="9"/>
  <c r="I48" i="9"/>
  <c r="J48" i="9" s="1"/>
  <c r="H48" i="9"/>
  <c r="G48" i="9" s="1"/>
  <c r="I52" i="9"/>
  <c r="J52" i="9" s="1"/>
  <c r="H52" i="9"/>
  <c r="H112" i="9"/>
  <c r="I112" i="9"/>
  <c r="J112" i="9" s="1"/>
  <c r="H116" i="9"/>
  <c r="I116" i="9"/>
  <c r="J116" i="9" s="1"/>
  <c r="H120" i="9"/>
  <c r="I120" i="9"/>
  <c r="J120" i="9" s="1"/>
  <c r="H124" i="9"/>
  <c r="I124" i="9"/>
  <c r="J124" i="9" s="1"/>
  <c r="H65" i="9"/>
  <c r="I65" i="9"/>
  <c r="J65" i="9" s="1"/>
  <c r="H73" i="9"/>
  <c r="I73" i="9"/>
  <c r="J73" i="9" s="1"/>
  <c r="H81" i="9"/>
  <c r="I81" i="9"/>
  <c r="J81" i="9" s="1"/>
  <c r="I89" i="9"/>
  <c r="J89" i="9" s="1"/>
  <c r="H89" i="9"/>
  <c r="G89" i="9" s="1"/>
  <c r="H57" i="9"/>
  <c r="I57" i="9"/>
  <c r="J57" i="9" s="1"/>
  <c r="I18" i="9"/>
  <c r="J18" i="9" s="1"/>
  <c r="H18" i="9"/>
  <c r="G18" i="9" s="1"/>
  <c r="I22" i="9"/>
  <c r="J22" i="9" s="1"/>
  <c r="H22" i="9"/>
  <c r="G22" i="9" s="1"/>
  <c r="H94" i="9"/>
  <c r="I94" i="9"/>
  <c r="J94" i="9" s="1"/>
  <c r="H98" i="9"/>
  <c r="I98" i="9"/>
  <c r="J98" i="9" s="1"/>
  <c r="H102" i="9"/>
  <c r="I102" i="9"/>
  <c r="J102" i="9" s="1"/>
  <c r="H106" i="9"/>
  <c r="I106" i="9"/>
  <c r="J106" i="9" s="1"/>
  <c r="H18" i="19"/>
  <c r="I18" i="19" s="1"/>
  <c r="E18" i="19"/>
  <c r="A18" i="19"/>
  <c r="H73" i="19"/>
  <c r="I73" i="19" s="1"/>
  <c r="E73" i="19"/>
  <c r="A73" i="19"/>
  <c r="H113" i="19"/>
  <c r="I113" i="19" s="1"/>
  <c r="E113" i="19"/>
  <c r="A113" i="19"/>
  <c r="H90" i="19"/>
  <c r="I90" i="19" s="1"/>
  <c r="E90" i="19"/>
  <c r="A90" i="19"/>
  <c r="H119" i="19"/>
  <c r="I119" i="19" s="1"/>
  <c r="E119" i="19"/>
  <c r="A119" i="19"/>
  <c r="H56" i="19"/>
  <c r="I56" i="19" s="1"/>
  <c r="A56" i="19"/>
  <c r="E56" i="19"/>
  <c r="H55" i="19"/>
  <c r="I55" i="19" s="1"/>
  <c r="A55" i="19"/>
  <c r="E55" i="19"/>
  <c r="H81" i="19"/>
  <c r="I81" i="19" s="1"/>
  <c r="A81" i="19"/>
  <c r="E81" i="19"/>
  <c r="H27" i="19"/>
  <c r="I27" i="19" s="1"/>
  <c r="E27" i="19"/>
  <c r="A27" i="19"/>
  <c r="E31" i="19"/>
  <c r="A31" i="19"/>
  <c r="H31" i="19"/>
  <c r="I31" i="19" s="1"/>
  <c r="E77" i="19"/>
  <c r="A77" i="19"/>
  <c r="H77" i="19"/>
  <c r="I77" i="19" s="1"/>
  <c r="H29" i="19"/>
  <c r="I29" i="19" s="1"/>
  <c r="A29" i="19"/>
  <c r="E29" i="19"/>
  <c r="H60" i="19"/>
  <c r="I60" i="19" s="1"/>
  <c r="A60" i="19"/>
  <c r="E60" i="19"/>
  <c r="H51" i="19"/>
  <c r="I51" i="19" s="1"/>
  <c r="E51" i="19"/>
  <c r="A51" i="19"/>
  <c r="A100" i="19"/>
  <c r="H100" i="19"/>
  <c r="I100" i="19" s="1"/>
  <c r="E100" i="19"/>
  <c r="H10" i="19"/>
  <c r="I10" i="19" s="1"/>
  <c r="A10" i="19"/>
  <c r="E10" i="19"/>
  <c r="H58" i="19"/>
  <c r="I58" i="19" s="1"/>
  <c r="A58" i="19"/>
  <c r="E58" i="19"/>
  <c r="H49" i="19"/>
  <c r="I49" i="19" s="1"/>
  <c r="A49" i="19"/>
  <c r="E49" i="19"/>
  <c r="H32" i="19"/>
  <c r="I32" i="19" s="1"/>
  <c r="A32" i="19"/>
  <c r="E32" i="19"/>
  <c r="H16" i="19"/>
  <c r="I16" i="19" s="1"/>
  <c r="A16" i="19"/>
  <c r="E16" i="19"/>
  <c r="A79" i="19"/>
  <c r="E79" i="19"/>
  <c r="H79" i="19"/>
  <c r="I79" i="19" s="1"/>
  <c r="H121" i="19"/>
  <c r="I121" i="19" s="1"/>
  <c r="A121" i="19"/>
  <c r="E121" i="19"/>
  <c r="H96" i="19"/>
  <c r="I96" i="19" s="1"/>
  <c r="A96" i="19"/>
  <c r="E96" i="19"/>
  <c r="H127" i="19"/>
  <c r="I127" i="19" s="1"/>
  <c r="A127" i="19"/>
  <c r="E127" i="19"/>
  <c r="H70" i="19"/>
  <c r="I70" i="19" s="1"/>
  <c r="A70" i="19"/>
  <c r="E70" i="19"/>
  <c r="H69" i="19"/>
  <c r="I69" i="19" s="1"/>
  <c r="A69" i="19"/>
  <c r="E69" i="19"/>
  <c r="H93" i="19"/>
  <c r="I93" i="19" s="1"/>
  <c r="E93" i="19"/>
  <c r="A93" i="19"/>
  <c r="H110" i="19"/>
  <c r="I110" i="19" s="1"/>
  <c r="A110" i="19"/>
  <c r="E110" i="19"/>
  <c r="H87" i="19"/>
  <c r="I87" i="19" s="1"/>
  <c r="E87" i="19"/>
  <c r="A87" i="19"/>
  <c r="H13" i="19"/>
  <c r="I13" i="19" s="1"/>
  <c r="E13" i="19"/>
  <c r="A13" i="19"/>
  <c r="I9" i="9"/>
  <c r="J9" i="9" s="1"/>
  <c r="H9" i="9"/>
  <c r="I66" i="9"/>
  <c r="J66" i="9" s="1"/>
  <c r="H66" i="9"/>
  <c r="G66" i="9" s="1"/>
  <c r="I82" i="9"/>
  <c r="J82" i="9" s="1"/>
  <c r="H82" i="9"/>
  <c r="G82" i="9" s="1"/>
  <c r="I26" i="9"/>
  <c r="J26" i="9" s="1"/>
  <c r="H26" i="9"/>
  <c r="G26" i="9" s="1"/>
  <c r="I34" i="9"/>
  <c r="J34" i="9" s="1"/>
  <c r="H34" i="9"/>
  <c r="G34" i="9" s="1"/>
  <c r="I42" i="9"/>
  <c r="J42" i="9" s="1"/>
  <c r="H42" i="9"/>
  <c r="I50" i="9"/>
  <c r="J50" i="9" s="1"/>
  <c r="H50" i="9"/>
  <c r="G50" i="9" s="1"/>
  <c r="H114" i="9"/>
  <c r="I114" i="9"/>
  <c r="J114" i="9" s="1"/>
  <c r="H122" i="9"/>
  <c r="I122" i="9"/>
  <c r="J122" i="9" s="1"/>
  <c r="I69" i="9"/>
  <c r="J69" i="9" s="1"/>
  <c r="H69" i="9"/>
  <c r="I85" i="9"/>
  <c r="J85" i="9" s="1"/>
  <c r="H85" i="9"/>
  <c r="I20" i="9"/>
  <c r="J20" i="9" s="1"/>
  <c r="H20" i="9"/>
  <c r="H92" i="9"/>
  <c r="I92" i="9"/>
  <c r="J92" i="9" s="1"/>
  <c r="H100" i="9"/>
  <c r="I100" i="9"/>
  <c r="J100" i="9" s="1"/>
  <c r="H108" i="9"/>
  <c r="I108" i="9"/>
  <c r="J108" i="9" s="1"/>
  <c r="H50" i="19"/>
  <c r="I50" i="19" s="1"/>
  <c r="A50" i="19"/>
  <c r="E50" i="19"/>
  <c r="H41" i="19"/>
  <c r="I41" i="19" s="1"/>
  <c r="A41" i="19"/>
  <c r="E41" i="19"/>
  <c r="A17" i="19"/>
  <c r="H17" i="19"/>
  <c r="I17" i="19" s="1"/>
  <c r="E17" i="19"/>
  <c r="E104" i="19"/>
  <c r="A104" i="19"/>
  <c r="H104" i="19"/>
  <c r="I104" i="19" s="1"/>
  <c r="E62" i="19"/>
  <c r="A62" i="19"/>
  <c r="H62" i="19"/>
  <c r="I62" i="19" s="1"/>
  <c r="H76" i="19"/>
  <c r="I76" i="19" s="1"/>
  <c r="A76" i="19"/>
  <c r="E76" i="19"/>
  <c r="H67" i="19"/>
  <c r="I67" i="19" s="1"/>
  <c r="A67" i="19"/>
  <c r="E67" i="19"/>
  <c r="A103" i="19"/>
  <c r="H103" i="19"/>
  <c r="I103" i="19" s="1"/>
  <c r="E103" i="19"/>
  <c r="E84" i="19"/>
  <c r="H84" i="19"/>
  <c r="I84" i="19" s="1"/>
  <c r="A84" i="19"/>
  <c r="H99" i="19"/>
  <c r="I99" i="19" s="1"/>
  <c r="A99" i="19"/>
  <c r="E99" i="19"/>
  <c r="H64" i="19"/>
  <c r="I64" i="19" s="1"/>
  <c r="A64" i="19"/>
  <c r="E64" i="19"/>
  <c r="H128" i="19"/>
  <c r="I128" i="19" s="1"/>
  <c r="A128" i="19"/>
  <c r="E128" i="19"/>
  <c r="H38" i="19"/>
  <c r="I38" i="19" s="1"/>
  <c r="E38" i="19"/>
  <c r="A38" i="19"/>
  <c r="H37" i="19"/>
  <c r="I37" i="19" s="1"/>
  <c r="A37" i="19"/>
  <c r="E37" i="19"/>
  <c r="H117" i="19"/>
  <c r="I117" i="19" s="1"/>
  <c r="A117" i="19"/>
  <c r="E117" i="19"/>
  <c r="H94" i="19"/>
  <c r="I94" i="19" s="1"/>
  <c r="A94" i="19"/>
  <c r="E94" i="19"/>
  <c r="E125" i="19"/>
  <c r="A125" i="19"/>
  <c r="H125" i="19"/>
  <c r="I125" i="19" s="1"/>
  <c r="I64" i="9"/>
  <c r="J64" i="9" s="1"/>
  <c r="H64" i="9"/>
  <c r="G64" i="9" s="1"/>
  <c r="I80" i="9"/>
  <c r="J80" i="9" s="1"/>
  <c r="H80" i="9"/>
  <c r="G80" i="9" s="1"/>
  <c r="I54" i="9"/>
  <c r="J54" i="9" s="1"/>
  <c r="H54" i="9"/>
  <c r="G54" i="9" s="1"/>
  <c r="I29" i="9"/>
  <c r="J29" i="9" s="1"/>
  <c r="H29" i="9"/>
  <c r="G29" i="9" s="1"/>
  <c r="I37" i="9"/>
  <c r="J37" i="9" s="1"/>
  <c r="H37" i="9"/>
  <c r="I45" i="9"/>
  <c r="J45" i="9" s="1"/>
  <c r="H45" i="9"/>
  <c r="G45" i="9" s="1"/>
  <c r="I53" i="9"/>
  <c r="J53" i="9" s="1"/>
  <c r="H53" i="9"/>
  <c r="I117" i="9"/>
  <c r="J117" i="9" s="1"/>
  <c r="H117" i="9"/>
  <c r="I125" i="9"/>
  <c r="H125" i="9"/>
  <c r="I59" i="9"/>
  <c r="J59" i="9" s="1"/>
  <c r="H59" i="9"/>
  <c r="G59" i="9" s="1"/>
  <c r="I75" i="9"/>
  <c r="J75" i="9" s="1"/>
  <c r="H75" i="9"/>
  <c r="G75" i="9" s="1"/>
  <c r="H91" i="9"/>
  <c r="I91" i="9"/>
  <c r="J91" i="9" s="1"/>
  <c r="H15" i="9"/>
  <c r="I15" i="9"/>
  <c r="J15" i="9" s="1"/>
  <c r="I23" i="9"/>
  <c r="J23" i="9" s="1"/>
  <c r="H23" i="9"/>
  <c r="H95" i="9"/>
  <c r="I95" i="9"/>
  <c r="J95" i="9" s="1"/>
  <c r="H103" i="9"/>
  <c r="I103" i="9"/>
  <c r="J103" i="9" s="1"/>
  <c r="E25" i="19"/>
  <c r="H25" i="19"/>
  <c r="I25" i="19" s="1"/>
  <c r="A25" i="19"/>
  <c r="A80" i="19"/>
  <c r="E80" i="19"/>
  <c r="H80" i="19"/>
  <c r="I80" i="19" s="1"/>
  <c r="E71" i="19"/>
  <c r="A71" i="19"/>
  <c r="H71" i="19"/>
  <c r="I71" i="19" s="1"/>
  <c r="H88" i="19"/>
  <c r="I88" i="19" s="1"/>
  <c r="A88" i="19"/>
  <c r="E88" i="19"/>
  <c r="H28" i="19"/>
  <c r="I28" i="19" s="1"/>
  <c r="E28" i="19"/>
  <c r="A28" i="19"/>
  <c r="E36" i="19"/>
  <c r="H36" i="19"/>
  <c r="I36" i="19" s="1"/>
  <c r="A36" i="19"/>
  <c r="H108" i="19"/>
  <c r="I108" i="19" s="1"/>
  <c r="A108" i="19"/>
  <c r="E108" i="19"/>
  <c r="E65" i="19"/>
  <c r="H65" i="19"/>
  <c r="I65" i="19" s="1"/>
  <c r="A65" i="19"/>
  <c r="A82" i="19"/>
  <c r="H82" i="19"/>
  <c r="I82" i="19" s="1"/>
  <c r="E82" i="19"/>
  <c r="H23" i="19"/>
  <c r="I23" i="19" s="1"/>
  <c r="A23" i="19"/>
  <c r="E23" i="19"/>
  <c r="E86" i="19"/>
  <c r="A86" i="19"/>
  <c r="H86" i="19"/>
  <c r="I86" i="19" s="1"/>
  <c r="F126" i="9"/>
  <c r="B126" i="9" s="1"/>
  <c r="I60" i="9"/>
  <c r="J60" i="9" s="1"/>
  <c r="H60" i="9"/>
  <c r="I68" i="9"/>
  <c r="J68" i="9" s="1"/>
  <c r="H68" i="9"/>
  <c r="I76" i="9"/>
  <c r="J76" i="9" s="1"/>
  <c r="H76" i="9"/>
  <c r="I84" i="9"/>
  <c r="J84" i="9" s="1"/>
  <c r="H84" i="9"/>
  <c r="I27" i="9"/>
  <c r="J27" i="9" s="1"/>
  <c r="H27" i="9"/>
  <c r="G27" i="9" s="1"/>
  <c r="H31" i="9"/>
  <c r="I31" i="9"/>
  <c r="J31" i="9" s="1"/>
  <c r="I35" i="9"/>
  <c r="J35" i="9" s="1"/>
  <c r="H35" i="9"/>
  <c r="G35" i="9" s="1"/>
  <c r="I39" i="9"/>
  <c r="J39" i="9" s="1"/>
  <c r="H39" i="9"/>
  <c r="I43" i="9"/>
  <c r="J43" i="9" s="1"/>
  <c r="H43" i="9"/>
  <c r="G43" i="9" s="1"/>
  <c r="H47" i="9"/>
  <c r="I47" i="9"/>
  <c r="J47" i="9" s="1"/>
  <c r="I51" i="9"/>
  <c r="J51" i="9" s="1"/>
  <c r="H51" i="9"/>
  <c r="G51" i="9" s="1"/>
  <c r="H111" i="9"/>
  <c r="I111" i="9"/>
  <c r="J111" i="9" s="1"/>
  <c r="H115" i="9"/>
  <c r="I115" i="9"/>
  <c r="J115" i="9" s="1"/>
  <c r="H119" i="9"/>
  <c r="I119" i="9"/>
  <c r="J119" i="9" s="1"/>
  <c r="H123" i="9"/>
  <c r="I123" i="9"/>
  <c r="J123" i="9" s="1"/>
  <c r="I63" i="9"/>
  <c r="J63" i="9" s="1"/>
  <c r="H63" i="9"/>
  <c r="I71" i="9"/>
  <c r="J71" i="9" s="1"/>
  <c r="H71" i="9"/>
  <c r="H79" i="9"/>
  <c r="I79" i="9"/>
  <c r="J79" i="9" s="1"/>
  <c r="H87" i="9"/>
  <c r="I87" i="9"/>
  <c r="J87" i="9" s="1"/>
  <c r="I55" i="9"/>
  <c r="J55" i="9" s="1"/>
  <c r="H55" i="9"/>
  <c r="H13" i="9"/>
  <c r="H17" i="9"/>
  <c r="I17" i="9"/>
  <c r="J17" i="9" s="1"/>
  <c r="I21" i="9"/>
  <c r="J21" i="9" s="1"/>
  <c r="H21" i="9"/>
  <c r="H25" i="9"/>
  <c r="I25" i="9"/>
  <c r="J25" i="9" s="1"/>
  <c r="I93" i="9"/>
  <c r="J93" i="9" s="1"/>
  <c r="H93" i="9"/>
  <c r="G93" i="9" s="1"/>
  <c r="I97" i="9"/>
  <c r="J97" i="9" s="1"/>
  <c r="H97" i="9"/>
  <c r="G97" i="9" s="1"/>
  <c r="I101" i="9"/>
  <c r="J101" i="9" s="1"/>
  <c r="H101" i="9"/>
  <c r="I105" i="9"/>
  <c r="J105" i="9" s="1"/>
  <c r="H105" i="9"/>
  <c r="G105" i="9" s="1"/>
  <c r="I109" i="9"/>
  <c r="J109" i="9" s="1"/>
  <c r="H109" i="9"/>
  <c r="A66" i="19"/>
  <c r="E66" i="19"/>
  <c r="H66" i="19"/>
  <c r="I66" i="19" s="1"/>
  <c r="E57" i="19"/>
  <c r="H57" i="19"/>
  <c r="I57" i="19" s="1"/>
  <c r="A57" i="19"/>
  <c r="A85" i="19"/>
  <c r="H85" i="19"/>
  <c r="I85" i="19" s="1"/>
  <c r="E85" i="19"/>
  <c r="E40" i="19"/>
  <c r="H40" i="19"/>
  <c r="I40" i="19" s="1"/>
  <c r="A40" i="19"/>
  <c r="E39" i="19"/>
  <c r="H39" i="19"/>
  <c r="I39" i="19" s="1"/>
  <c r="A39" i="19"/>
  <c r="H120" i="19"/>
  <c r="I120" i="19" s="1"/>
  <c r="A120" i="19"/>
  <c r="E120" i="19"/>
  <c r="A15" i="19"/>
  <c r="E15" i="19"/>
  <c r="H15" i="19"/>
  <c r="I15" i="19" s="1"/>
  <c r="H78" i="19"/>
  <c r="I78" i="19" s="1"/>
  <c r="E78" i="19"/>
  <c r="A78" i="19"/>
  <c r="H61" i="19"/>
  <c r="I61" i="19" s="1"/>
  <c r="E61" i="19"/>
  <c r="A61" i="19"/>
  <c r="A21" i="19"/>
  <c r="H21" i="19"/>
  <c r="I21" i="19" s="1"/>
  <c r="E21" i="19"/>
  <c r="A52" i="19"/>
  <c r="H52" i="19"/>
  <c r="I52" i="19" s="1"/>
  <c r="E52" i="19"/>
  <c r="A30" i="19"/>
  <c r="H30" i="19"/>
  <c r="I30" i="19" s="1"/>
  <c r="E30" i="19"/>
  <c r="E43" i="19"/>
  <c r="H43" i="19"/>
  <c r="I43" i="19" s="1"/>
  <c r="A43" i="19"/>
  <c r="E75" i="19"/>
  <c r="H75" i="19"/>
  <c r="I75" i="19" s="1"/>
  <c r="A75" i="19"/>
  <c r="H115" i="19"/>
  <c r="I115" i="19" s="1"/>
  <c r="A115" i="19"/>
  <c r="E115" i="19"/>
  <c r="H92" i="19"/>
  <c r="I92" i="19" s="1"/>
  <c r="E92" i="19"/>
  <c r="A92" i="19"/>
  <c r="H124" i="19"/>
  <c r="I124" i="19" s="1"/>
  <c r="A124" i="19"/>
  <c r="E124" i="19"/>
  <c r="E123" i="19"/>
  <c r="H123" i="19"/>
  <c r="I123" i="19" s="1"/>
  <c r="A123" i="19"/>
  <c r="E42" i="19"/>
  <c r="H42" i="19"/>
  <c r="I42" i="19" s="1"/>
  <c r="A42" i="19"/>
  <c r="E33" i="19"/>
  <c r="A33" i="19"/>
  <c r="H33" i="19"/>
  <c r="I33" i="19" s="1"/>
  <c r="E114" i="19"/>
  <c r="H114" i="19"/>
  <c r="I114" i="19" s="1"/>
  <c r="A114" i="19"/>
  <c r="A14" i="19"/>
  <c r="E14" i="19"/>
  <c r="H14" i="19"/>
  <c r="I14" i="19" s="1"/>
  <c r="E72" i="19"/>
  <c r="A72" i="19"/>
  <c r="H72" i="19"/>
  <c r="I72" i="19" s="1"/>
  <c r="H63" i="19"/>
  <c r="I63" i="19" s="1"/>
  <c r="A63" i="19"/>
  <c r="E63" i="19"/>
  <c r="H95" i="19"/>
  <c r="I95" i="19" s="1"/>
  <c r="A95" i="19"/>
  <c r="E95" i="19"/>
  <c r="E91" i="19"/>
  <c r="H91" i="19"/>
  <c r="I91" i="19" s="1"/>
  <c r="A91" i="19"/>
  <c r="H54" i="19"/>
  <c r="I54" i="19" s="1"/>
  <c r="A54" i="19"/>
  <c r="E54" i="19"/>
  <c r="H53" i="19"/>
  <c r="I53" i="19" s="1"/>
  <c r="A53" i="19"/>
  <c r="E53" i="19"/>
  <c r="H102" i="19"/>
  <c r="I102" i="19" s="1"/>
  <c r="E102" i="19"/>
  <c r="A102" i="19"/>
  <c r="E12" i="19"/>
  <c r="F126" i="18"/>
  <c r="N1" i="18"/>
  <c r="C3" i="18" s="1"/>
  <c r="F1" i="18"/>
  <c r="J1" i="15"/>
  <c r="I1" i="15"/>
  <c r="B1" i="15"/>
  <c r="G125" i="6"/>
  <c r="A125" i="6"/>
  <c r="G124" i="6"/>
  <c r="A124" i="6"/>
  <c r="G123" i="6"/>
  <c r="A123" i="6"/>
  <c r="G122" i="6"/>
  <c r="A122" i="6"/>
  <c r="G121" i="6"/>
  <c r="A121" i="6"/>
  <c r="G120" i="6"/>
  <c r="A120" i="6"/>
  <c r="G119" i="6"/>
  <c r="A119" i="6"/>
  <c r="G118" i="6"/>
  <c r="A118" i="6"/>
  <c r="G117" i="6"/>
  <c r="A117" i="6"/>
  <c r="G116" i="6"/>
  <c r="A116" i="6"/>
  <c r="G115" i="6"/>
  <c r="A115" i="6"/>
  <c r="G114" i="6"/>
  <c r="A114" i="6"/>
  <c r="G113" i="6"/>
  <c r="A113" i="6"/>
  <c r="G112" i="6"/>
  <c r="A112" i="6"/>
  <c r="G111" i="6"/>
  <c r="A111" i="6"/>
  <c r="G110" i="6"/>
  <c r="A110" i="6"/>
  <c r="G109" i="6"/>
  <c r="A109" i="6"/>
  <c r="G108" i="6"/>
  <c r="A108" i="6"/>
  <c r="G107" i="6"/>
  <c r="A107" i="6"/>
  <c r="G106" i="6"/>
  <c r="A106" i="6"/>
  <c r="G105" i="6"/>
  <c r="A105" i="6"/>
  <c r="G104" i="6"/>
  <c r="A104" i="6"/>
  <c r="G103" i="6"/>
  <c r="A103" i="6"/>
  <c r="G102" i="6"/>
  <c r="A102" i="6"/>
  <c r="G101" i="6"/>
  <c r="A101" i="6"/>
  <c r="G100" i="6"/>
  <c r="A100" i="6"/>
  <c r="G99" i="6"/>
  <c r="A99" i="6"/>
  <c r="G98" i="6"/>
  <c r="A98" i="6"/>
  <c r="G97" i="6"/>
  <c r="A97" i="6"/>
  <c r="G96" i="6"/>
  <c r="A96" i="6"/>
  <c r="G95" i="6"/>
  <c r="A95" i="6"/>
  <c r="G94" i="6"/>
  <c r="A94" i="6"/>
  <c r="G93" i="6"/>
  <c r="A93" i="6"/>
  <c r="G92" i="6"/>
  <c r="A92" i="6"/>
  <c r="G91" i="6"/>
  <c r="A91" i="6"/>
  <c r="G90" i="6"/>
  <c r="A90" i="6"/>
  <c r="G89" i="6"/>
  <c r="A89" i="6"/>
  <c r="G88" i="6"/>
  <c r="A88" i="6"/>
  <c r="G87" i="6"/>
  <c r="A87" i="6"/>
  <c r="G86" i="6"/>
  <c r="A86" i="6"/>
  <c r="G85" i="6"/>
  <c r="A85" i="6"/>
  <c r="G84" i="6"/>
  <c r="A84" i="6"/>
  <c r="G83" i="6"/>
  <c r="A83" i="6"/>
  <c r="G82" i="6"/>
  <c r="A82" i="6"/>
  <c r="G81" i="6"/>
  <c r="A81" i="6"/>
  <c r="G80" i="6"/>
  <c r="A80" i="6"/>
  <c r="G79" i="6"/>
  <c r="A79" i="6"/>
  <c r="G78" i="6"/>
  <c r="A78" i="6"/>
  <c r="G77" i="6"/>
  <c r="A77" i="6"/>
  <c r="G76" i="6"/>
  <c r="A76" i="6"/>
  <c r="G75" i="6"/>
  <c r="A75" i="6"/>
  <c r="G74" i="6"/>
  <c r="A74" i="6"/>
  <c r="G73" i="6"/>
  <c r="A73" i="6"/>
  <c r="G72" i="6"/>
  <c r="A72" i="6"/>
  <c r="G71" i="6"/>
  <c r="A71" i="6"/>
  <c r="G70" i="6"/>
  <c r="A70" i="6"/>
  <c r="G69" i="6"/>
  <c r="A69" i="6"/>
  <c r="G68" i="6"/>
  <c r="A68" i="6"/>
  <c r="G67" i="6"/>
  <c r="A67" i="6"/>
  <c r="G66" i="6"/>
  <c r="A66" i="6"/>
  <c r="G65" i="6"/>
  <c r="A65" i="6"/>
  <c r="G64" i="6"/>
  <c r="A64" i="6"/>
  <c r="G63" i="6"/>
  <c r="A63" i="6"/>
  <c r="G62" i="6"/>
  <c r="A62" i="6"/>
  <c r="G61" i="6"/>
  <c r="A61" i="6"/>
  <c r="G60" i="6"/>
  <c r="A60" i="6"/>
  <c r="G59" i="6"/>
  <c r="A59" i="6"/>
  <c r="G58" i="6"/>
  <c r="A58" i="6"/>
  <c r="G57" i="6"/>
  <c r="A57" i="6"/>
  <c r="G56" i="6"/>
  <c r="A56" i="6"/>
  <c r="G55" i="6"/>
  <c r="A55" i="6"/>
  <c r="G54" i="6"/>
  <c r="A54" i="6"/>
  <c r="G53" i="6"/>
  <c r="A53" i="6"/>
  <c r="G52" i="6"/>
  <c r="A52" i="6"/>
  <c r="G51" i="6"/>
  <c r="A51" i="6"/>
  <c r="G50" i="6"/>
  <c r="A50" i="6"/>
  <c r="G49" i="6"/>
  <c r="A49" i="6"/>
  <c r="G48" i="6"/>
  <c r="A48" i="6"/>
  <c r="G47" i="6"/>
  <c r="A47" i="6"/>
  <c r="G46" i="6"/>
  <c r="A46" i="6"/>
  <c r="G45" i="6"/>
  <c r="A45" i="6"/>
  <c r="G44" i="6"/>
  <c r="A44" i="6"/>
  <c r="G43" i="6"/>
  <c r="A43" i="6"/>
  <c r="G42" i="6"/>
  <c r="A42" i="6"/>
  <c r="G41" i="6"/>
  <c r="A41" i="6"/>
  <c r="G40" i="6"/>
  <c r="A40" i="6"/>
  <c r="G39" i="6"/>
  <c r="A39" i="6"/>
  <c r="G38" i="6"/>
  <c r="A38" i="6"/>
  <c r="G37" i="6"/>
  <c r="A37" i="6"/>
  <c r="G36" i="6"/>
  <c r="A36" i="6"/>
  <c r="G35" i="6"/>
  <c r="A35" i="6"/>
  <c r="G34" i="6"/>
  <c r="A34" i="6"/>
  <c r="G33" i="6"/>
  <c r="A33" i="6"/>
  <c r="G32" i="6"/>
  <c r="A32" i="6"/>
  <c r="G31" i="6"/>
  <c r="A31" i="6"/>
  <c r="G30" i="6"/>
  <c r="A30" i="6"/>
  <c r="G29" i="6"/>
  <c r="A29" i="6"/>
  <c r="G28" i="6"/>
  <c r="A28" i="6"/>
  <c r="G27" i="6"/>
  <c r="A27" i="6"/>
  <c r="G26" i="6"/>
  <c r="A26" i="6"/>
  <c r="G25" i="6"/>
  <c r="A25" i="6"/>
  <c r="G24" i="6"/>
  <c r="A24" i="6"/>
  <c r="G23" i="6"/>
  <c r="A23" i="6"/>
  <c r="G22" i="6"/>
  <c r="A22" i="6"/>
  <c r="G21" i="6"/>
  <c r="A21" i="6"/>
  <c r="G20" i="6"/>
  <c r="A20" i="6"/>
  <c r="G19" i="6"/>
  <c r="A19" i="6"/>
  <c r="G18" i="6"/>
  <c r="A18" i="6"/>
  <c r="G17" i="6"/>
  <c r="A17" i="6"/>
  <c r="G16" i="6"/>
  <c r="A16" i="6"/>
  <c r="G15" i="6"/>
  <c r="A15" i="6"/>
  <c r="G14" i="6"/>
  <c r="A14" i="6"/>
  <c r="G13" i="6"/>
  <c r="A13" i="6"/>
  <c r="G12" i="6"/>
  <c r="A12" i="6"/>
  <c r="G11" i="6"/>
  <c r="A11" i="6"/>
  <c r="G10" i="6"/>
  <c r="A10" i="6"/>
  <c r="G9" i="6"/>
  <c r="A9" i="6"/>
  <c r="G8" i="6"/>
  <c r="A8" i="6"/>
  <c r="F129" i="19" l="1"/>
  <c r="J125" i="9"/>
  <c r="G7" i="6"/>
  <c r="A7" i="6"/>
  <c r="A6" i="6"/>
  <c r="F126" i="6" l="1"/>
  <c r="H5" i="6"/>
  <c r="C3" i="6"/>
  <c r="H1" i="15"/>
  <c r="C1" i="15" s="1"/>
  <c r="C64" i="4"/>
  <c r="C63" i="4"/>
  <c r="C62" i="4"/>
  <c r="C61" i="4"/>
  <c r="G59" i="4" l="1"/>
  <c r="G60" i="4" s="1"/>
  <c r="G52" i="4" s="1"/>
  <c r="I7" i="9"/>
  <c r="N10" i="9" s="1"/>
  <c r="I11" i="9"/>
  <c r="K5" i="19"/>
  <c r="U5" i="19" s="1"/>
  <c r="V5" i="19" s="1"/>
  <c r="H3" i="19" s="1"/>
  <c r="J7" i="9" l="1"/>
  <c r="J11" i="9"/>
  <c r="W5" i="19"/>
  <c r="X5" i="19" s="1"/>
  <c r="N5" i="19"/>
  <c r="Y5" i="19" l="1"/>
  <c r="Z5" i="19" s="1"/>
  <c r="AA5" i="19" s="1"/>
  <c r="AB5" i="19" l="1"/>
  <c r="O5" i="19" s="1"/>
  <c r="I3" i="19" l="1"/>
  <c r="G6" i="9"/>
  <c r="I6" i="9" s="1"/>
  <c r="G14" i="9"/>
  <c r="I14" i="9" s="1"/>
  <c r="G12" i="9"/>
  <c r="I12" i="9" s="1"/>
  <c r="J12" i="9" s="1"/>
  <c r="N8" i="9" l="1"/>
  <c r="N9" i="9"/>
  <c r="J14" i="9"/>
  <c r="N11" i="9"/>
  <c r="H14" i="9"/>
  <c r="H12" i="9"/>
  <c r="H6" i="9"/>
  <c r="J6" i="9"/>
  <c r="I126" i="9"/>
  <c r="J126"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Pepe</author>
  </authors>
  <commentList>
    <comment ref="B5" authorId="0" shapeId="0" xr:uid="{00000000-0006-0000-0100-000001000000}">
      <text>
        <r>
          <rPr>
            <b/>
            <sz val="9"/>
            <color indexed="81"/>
            <rFont val="Tahoma"/>
            <family val="2"/>
          </rPr>
          <t>Usuário:</t>
        </r>
        <r>
          <rPr>
            <sz val="9"/>
            <color indexed="81"/>
            <rFont val="Tahoma"/>
            <family val="2"/>
          </rPr>
          <t xml:space="preserve"> Esta sequência numérica é colocada automaticamente de 10 em 10 para que se necessário, você possa alterar a ordem na Sequência Operacional que estiver fazendo. Caso esquecer alguma operação, basta incluir normalmente após a última operação informada e alterar o número da sequência para um (ou até 9) número maior ou menor da sequência que deseja posicionar a nova operação. Depois clique na "</t>
        </r>
        <r>
          <rPr>
            <b/>
            <sz val="9"/>
            <color indexed="81"/>
            <rFont val="Tahoma"/>
            <family val="2"/>
          </rPr>
          <t xml:space="preserve">seta azul </t>
        </r>
        <r>
          <rPr>
            <sz val="9"/>
            <color indexed="81"/>
            <rFont val="Tahoma"/>
            <family val="2"/>
          </rPr>
          <t xml:space="preserve">" para colocar em ordem.
</t>
        </r>
      </text>
    </comment>
    <comment ref="C5" authorId="0" shapeId="0" xr:uid="{00000000-0006-0000-0100-000002000000}">
      <text>
        <r>
          <rPr>
            <b/>
            <sz val="9"/>
            <color indexed="81"/>
            <rFont val="Tahoma"/>
            <family val="2"/>
          </rPr>
          <t>Usuário:</t>
        </r>
        <r>
          <rPr>
            <sz val="9"/>
            <color indexed="81"/>
            <rFont val="Tahoma"/>
            <family val="2"/>
          </rPr>
          <t xml:space="preserve"> Clique nas células abaixo para buscar uma operação já cadastrada, ou se preferir, digite a operação direto na célula. </t>
        </r>
        <r>
          <rPr>
            <b/>
            <sz val="9"/>
            <color indexed="81"/>
            <rFont val="Tahoma"/>
            <family val="2"/>
          </rPr>
          <t>ATENÇÃO!</t>
        </r>
        <r>
          <rPr>
            <sz val="9"/>
            <color indexed="81"/>
            <rFont val="Tahoma"/>
            <family val="2"/>
          </rPr>
          <t xml:space="preserve"> Se você buscar uma operação já cadastrada </t>
        </r>
        <r>
          <rPr>
            <b/>
            <sz val="9"/>
            <color indexed="81"/>
            <rFont val="Tahoma"/>
            <family val="2"/>
          </rPr>
          <t>fique atento</t>
        </r>
        <r>
          <rPr>
            <sz val="9"/>
            <color indexed="81"/>
            <rFont val="Tahoma"/>
            <family val="2"/>
          </rPr>
          <t xml:space="preserve"> no Tipo de Máquina, Aparelho e Tempo Padrão, pois as informações poderão estar erradas para esta Sequência Operacional. Lembrando que uma mesma Operação poderá ser igual para várias Sequências, mas com Máquina, Aparelho ou Tempo Padrão diferente.</t>
        </r>
      </text>
    </comment>
    <comment ref="D5" authorId="0" shapeId="0" xr:uid="{00000000-0006-0000-0100-000003000000}">
      <text>
        <r>
          <rPr>
            <b/>
            <sz val="9"/>
            <color indexed="81"/>
            <rFont val="Tahoma"/>
            <family val="2"/>
          </rPr>
          <t>Usuário:</t>
        </r>
        <r>
          <rPr>
            <sz val="9"/>
            <color indexed="81"/>
            <rFont val="Tahoma"/>
            <family val="2"/>
          </rPr>
          <t xml:space="preserve"> Clique nas células abaixo para buscar um Tipo de Máquina já cadastrado. </t>
        </r>
        <r>
          <rPr>
            <b/>
            <sz val="9"/>
            <color indexed="81"/>
            <rFont val="Tahoma"/>
            <family val="2"/>
          </rPr>
          <t>Esta informação é obrigatória</t>
        </r>
        <r>
          <rPr>
            <sz val="9"/>
            <color indexed="81"/>
            <rFont val="Tahoma"/>
            <family val="2"/>
          </rPr>
          <t xml:space="preserve">, pois é utilizada na Ficha de Balanceamento.
</t>
        </r>
      </text>
    </comment>
    <comment ref="E5" authorId="0" shapeId="0" xr:uid="{00000000-0006-0000-0100-000004000000}">
      <text>
        <r>
          <rPr>
            <b/>
            <sz val="9"/>
            <color indexed="81"/>
            <rFont val="Tahoma"/>
            <family val="2"/>
          </rPr>
          <t>Usuário:</t>
        </r>
        <r>
          <rPr>
            <sz val="9"/>
            <color indexed="81"/>
            <rFont val="Tahoma"/>
            <family val="2"/>
          </rPr>
          <t xml:space="preserve"> Se a operação necessita de um Aparelho, clique na célula para buscar um Tipo de Aparelho já cadastrado. </t>
        </r>
        <r>
          <rPr>
            <b/>
            <sz val="9"/>
            <color indexed="81"/>
            <rFont val="Tahoma"/>
            <family val="2"/>
          </rPr>
          <t>Esta informação "não é" obrigatória</t>
        </r>
        <r>
          <rPr>
            <sz val="9"/>
            <color indexed="81"/>
            <rFont val="Tahoma"/>
            <family val="2"/>
          </rPr>
          <t xml:space="preserve">, mas quando informada é utilizada na Ficha de Balanceamento.
</t>
        </r>
      </text>
    </comment>
    <comment ref="F5" authorId="0" shapeId="0" xr:uid="{00000000-0006-0000-0100-000005000000}">
      <text>
        <r>
          <rPr>
            <b/>
            <sz val="9"/>
            <color indexed="81"/>
            <rFont val="Tahoma"/>
            <family val="2"/>
          </rPr>
          <t>Usuário:</t>
        </r>
        <r>
          <rPr>
            <sz val="9"/>
            <color indexed="81"/>
            <rFont val="Tahoma"/>
            <family val="2"/>
          </rPr>
          <t xml:space="preserve"> Informe nesta coluna o </t>
        </r>
        <r>
          <rPr>
            <b/>
            <sz val="9"/>
            <color indexed="81"/>
            <rFont val="Tahoma"/>
            <family val="2"/>
          </rPr>
          <t>tempo padrão</t>
        </r>
        <r>
          <rPr>
            <sz val="9"/>
            <color indexed="81"/>
            <rFont val="Tahoma"/>
            <family val="2"/>
          </rPr>
          <t xml:space="preserve"> da operação.
</t>
        </r>
        <r>
          <rPr>
            <b/>
            <sz val="9"/>
            <color indexed="81"/>
            <rFont val="Tahoma"/>
            <family val="2"/>
          </rPr>
          <t>Está configurado para mostrar 2 casas decimais, você poderá alterar para mais se necessário.</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Pepe</author>
  </authors>
  <commentList>
    <comment ref="L1" authorId="0" shapeId="0" xr:uid="{00000000-0006-0000-0500-000001000000}">
      <text>
        <r>
          <rPr>
            <b/>
            <sz val="9"/>
            <color indexed="81"/>
            <rFont val="Tahoma"/>
            <family val="2"/>
          </rPr>
          <t>Usuário:</t>
        </r>
        <r>
          <rPr>
            <sz val="9"/>
            <color indexed="81"/>
            <rFont val="Tahoma"/>
            <family val="2"/>
          </rPr>
          <t xml:space="preserve"> Digite o número da </t>
        </r>
        <r>
          <rPr>
            <b/>
            <sz val="9"/>
            <color indexed="81"/>
            <rFont val="Tahoma"/>
            <family val="2"/>
          </rPr>
          <t>OP</t>
        </r>
        <r>
          <rPr>
            <sz val="9"/>
            <color indexed="81"/>
            <rFont val="Tahoma"/>
            <family val="2"/>
          </rPr>
          <t xml:space="preserve"> ou clique na célula para buscar.</t>
        </r>
      </text>
    </comment>
    <comment ref="N1" authorId="0" shapeId="0" xr:uid="{00000000-0006-0000-0500-000002000000}">
      <text>
        <r>
          <rPr>
            <b/>
            <sz val="9"/>
            <color indexed="81"/>
            <rFont val="Tahoma"/>
            <family val="2"/>
          </rPr>
          <t>Usuário:</t>
        </r>
        <r>
          <rPr>
            <sz val="9"/>
            <color indexed="81"/>
            <rFont val="Tahoma"/>
            <family val="2"/>
          </rPr>
          <t xml:space="preserve"> Informe aqui a Cor desejada para esta Ficha de Acompanhamento. Se não informar mostra automaticamente a 1ª Cor da OP.
</t>
        </r>
      </text>
    </comment>
    <comment ref="L2" authorId="0" shapeId="0" xr:uid="{00000000-0006-0000-0500-000003000000}">
      <text>
        <r>
          <rPr>
            <b/>
            <sz val="9"/>
            <color indexed="81"/>
            <rFont val="Tahoma"/>
            <family val="2"/>
          </rPr>
          <t>Usuário:</t>
        </r>
        <r>
          <rPr>
            <sz val="9"/>
            <color indexed="81"/>
            <rFont val="Tahoma"/>
            <family val="2"/>
          </rPr>
          <t xml:space="preserve"> Informe aqui a quantidade de peças desejada para esta Ficha de Acompanhamento. Se não informar mostra automaticamente a quantidade da OP.
</t>
        </r>
      </text>
    </comment>
    <comment ref="N2" authorId="0" shapeId="0" xr:uid="{00000000-0006-0000-0500-000004000000}">
      <text>
        <r>
          <rPr>
            <b/>
            <sz val="9"/>
            <color indexed="81"/>
            <rFont val="Tahoma"/>
            <family val="2"/>
          </rPr>
          <t>Usuário:</t>
        </r>
        <r>
          <rPr>
            <sz val="9"/>
            <color indexed="81"/>
            <rFont val="Tahoma"/>
            <family val="2"/>
          </rPr>
          <t xml:space="preserve"> Informe aqui o Tamanho desejado para esta Ficha de Acompanhamento. Se não informar mostra automaticamente o 1º Tamanho da OP.
</t>
        </r>
      </text>
    </comment>
    <comment ref="L5" authorId="0" shapeId="0" xr:uid="{00000000-0006-0000-0500-000005000000}">
      <text>
        <r>
          <rPr>
            <b/>
            <sz val="9"/>
            <color indexed="81"/>
            <rFont val="Tahoma"/>
            <family val="2"/>
          </rPr>
          <t>Usuário:</t>
        </r>
        <r>
          <rPr>
            <sz val="9"/>
            <color indexed="81"/>
            <rFont val="Tahoma"/>
            <family val="2"/>
          </rPr>
          <t xml:space="preserve"> Informe aqui a quantidade de Operador(a) que será envolvido(a) para executar este serviço.
</t>
        </r>
      </text>
    </comment>
    <comment ref="M5" authorId="0" shapeId="0" xr:uid="{00000000-0006-0000-0500-000006000000}">
      <text>
        <r>
          <rPr>
            <b/>
            <sz val="9"/>
            <color indexed="81"/>
            <rFont val="Tahoma"/>
            <family val="2"/>
          </rPr>
          <t>Usuário:</t>
        </r>
        <r>
          <rPr>
            <sz val="9"/>
            <color indexed="81"/>
            <rFont val="Tahoma"/>
            <family val="2"/>
          </rPr>
          <t xml:space="preserve"> Informe aqui a média de minutos que o Operador(a) trabalha por dia. </t>
        </r>
        <r>
          <rPr>
            <b/>
            <sz val="9"/>
            <color indexed="81"/>
            <rFont val="Tahoma"/>
            <family val="2"/>
          </rPr>
          <t>Exemplo:</t>
        </r>
        <r>
          <rPr>
            <sz val="9"/>
            <color indexed="81"/>
            <rFont val="Tahoma"/>
            <family val="2"/>
          </rPr>
          <t xml:space="preserve"> 44 horas semanais. 
(44 x 60 = 2640 min. / 5 dias = </t>
        </r>
        <r>
          <rPr>
            <b/>
            <sz val="9"/>
            <color indexed="81"/>
            <rFont val="Tahoma"/>
            <family val="2"/>
          </rPr>
          <t>528</t>
        </r>
        <r>
          <rPr>
            <sz val="9"/>
            <color indexed="81"/>
            <rFont val="Tahoma"/>
            <family val="2"/>
          </rPr>
          <t xml:space="preserve"> min.)</t>
        </r>
      </text>
    </comment>
    <comment ref="P5" authorId="0" shapeId="0" xr:uid="{00000000-0006-0000-0500-000007000000}">
      <text>
        <r>
          <rPr>
            <b/>
            <sz val="9"/>
            <color indexed="81"/>
            <rFont val="Tahoma"/>
            <family val="2"/>
          </rPr>
          <t>Usuário:</t>
        </r>
        <r>
          <rPr>
            <sz val="9"/>
            <color indexed="81"/>
            <rFont val="Tahoma"/>
            <family val="2"/>
          </rPr>
          <t xml:space="preserve"> Informe aqui a quantidade de peças que deseja simular para saber a qtde de dias + horas, que levará para executar o serviço com determinada qtde de Operador(a) trabalhando determinado minutos por dia.
</t>
        </r>
      </text>
    </comment>
    <comment ref="U5" authorId="0" shapeId="0" xr:uid="{00000000-0006-0000-0500-000008000000}">
      <text>
        <r>
          <rPr>
            <sz val="9"/>
            <color indexed="81"/>
            <rFont val="Tahoma"/>
            <family val="2"/>
          </rPr>
          <t xml:space="preserve">Total de Dias
</t>
        </r>
      </text>
    </comment>
    <comment ref="V5" authorId="0" shapeId="0" xr:uid="{00000000-0006-0000-0500-000009000000}">
      <text>
        <r>
          <rPr>
            <sz val="9"/>
            <color indexed="81"/>
            <rFont val="Tahoma"/>
            <family val="2"/>
          </rPr>
          <t xml:space="preserve">Dias redondo.
</t>
        </r>
      </text>
    </comment>
    <comment ref="W5" authorId="0" shapeId="0" xr:uid="{00000000-0006-0000-0500-00000A000000}">
      <text>
        <r>
          <rPr>
            <sz val="9"/>
            <color indexed="81"/>
            <rFont val="Tahoma"/>
            <family val="2"/>
          </rPr>
          <t xml:space="preserve">Decimal de Dias.
</t>
        </r>
      </text>
    </comment>
    <comment ref="X5" authorId="0" shapeId="0" xr:uid="{00000000-0006-0000-0500-00000B000000}">
      <text>
        <r>
          <rPr>
            <sz val="9"/>
            <color indexed="81"/>
            <rFont val="Tahoma"/>
            <family val="2"/>
          </rPr>
          <t>Total de Horas do Decimal de Dias.</t>
        </r>
      </text>
    </comment>
    <comment ref="Y5" authorId="0" shapeId="0" xr:uid="{00000000-0006-0000-0500-00000C000000}">
      <text>
        <r>
          <rPr>
            <sz val="9"/>
            <color indexed="81"/>
            <rFont val="Tahoma"/>
            <family val="2"/>
          </rPr>
          <t xml:space="preserve">Arredondamento de horas do decimal de Dias.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Pepe</author>
  </authors>
  <commentList>
    <comment ref="I1" authorId="0" shapeId="0" xr:uid="{00000000-0006-0000-0600-000001000000}">
      <text>
        <r>
          <rPr>
            <b/>
            <sz val="9"/>
            <color indexed="81"/>
            <rFont val="Tahoma"/>
            <family val="2"/>
          </rPr>
          <t>Usuário:</t>
        </r>
        <r>
          <rPr>
            <sz val="9"/>
            <color indexed="81"/>
            <rFont val="Tahoma"/>
            <family val="2"/>
          </rPr>
          <t xml:space="preserve"> Informe aqui a quantidade de peças que pretende produzir por dia. Lembrando que deverá analisar sua capacidade em relação da quantidade de máquinas disponíveis.
</t>
        </r>
      </text>
    </comment>
    <comment ref="K1" authorId="0" shapeId="0" xr:uid="{00000000-0006-0000-0600-000002000000}">
      <text>
        <r>
          <rPr>
            <b/>
            <sz val="9"/>
            <color indexed="81"/>
            <rFont val="Tahoma"/>
            <family val="2"/>
          </rPr>
          <t>Usuário:</t>
        </r>
        <r>
          <rPr>
            <sz val="9"/>
            <color indexed="81"/>
            <rFont val="Tahoma"/>
            <family val="2"/>
          </rPr>
          <t xml:space="preserve"> A data tem como padrão a data atual do seu computador (hoje), mas poderá ser digitada a data que desejar. Após clicar no "Botão Limpar", será colocado automaticamente a fórmula para mostrar a data atual ( </t>
        </r>
        <r>
          <rPr>
            <b/>
            <sz val="9"/>
            <color indexed="81"/>
            <rFont val="Tahoma"/>
            <family val="2"/>
          </rPr>
          <t>=HOJE()</t>
        </r>
        <r>
          <rPr>
            <sz val="9"/>
            <color indexed="81"/>
            <rFont val="Tahoma"/>
            <family val="2"/>
          </rPr>
          <t xml:space="preserve"> ).
</t>
        </r>
      </text>
    </comment>
    <comment ref="I2" authorId="0" shapeId="0" xr:uid="{00000000-0006-0000-0600-000003000000}">
      <text>
        <r>
          <rPr>
            <b/>
            <sz val="9"/>
            <color indexed="81"/>
            <rFont val="Tahoma"/>
            <family val="2"/>
          </rPr>
          <t>Usuário:</t>
        </r>
        <r>
          <rPr>
            <sz val="9"/>
            <color indexed="81"/>
            <rFont val="Tahoma"/>
            <family val="2"/>
          </rPr>
          <t xml:space="preserve"> Informe aqui a média de minutos que o Operador(a) trabalha por dia/turno. </t>
        </r>
        <r>
          <rPr>
            <b/>
            <sz val="9"/>
            <color indexed="81"/>
            <rFont val="Tahoma"/>
            <family val="2"/>
          </rPr>
          <t>Exemplo:</t>
        </r>
        <r>
          <rPr>
            <sz val="9"/>
            <color indexed="81"/>
            <rFont val="Tahoma"/>
            <family val="2"/>
          </rPr>
          <t xml:space="preserve"> 44 horas semanais. 
(44 x 60 = 2640 min. / 5 dias = </t>
        </r>
        <r>
          <rPr>
            <b/>
            <sz val="9"/>
            <color indexed="81"/>
            <rFont val="Tahoma"/>
            <family val="2"/>
          </rPr>
          <t>528</t>
        </r>
        <r>
          <rPr>
            <sz val="9"/>
            <color indexed="81"/>
            <rFont val="Tahoma"/>
            <family val="2"/>
          </rPr>
          <t xml:space="preserve"> min.)</t>
        </r>
      </text>
    </comment>
    <comment ref="R2" authorId="0" shapeId="0" xr:uid="{00000000-0006-0000-0600-000004000000}">
      <text>
        <r>
          <rPr>
            <sz val="9"/>
            <color indexed="81"/>
            <rFont val="Tahoma"/>
            <family val="2"/>
          </rPr>
          <t>Para informar Referência não cadastrada quando digitar a Ref. na célula C2.</t>
        </r>
      </text>
    </comment>
    <comment ref="I3" authorId="0" shapeId="0" xr:uid="{00000000-0006-0000-0600-000005000000}">
      <text>
        <r>
          <rPr>
            <b/>
            <sz val="9"/>
            <color indexed="81"/>
            <rFont val="Tahoma"/>
            <family val="2"/>
          </rPr>
          <t>Usuário:</t>
        </r>
        <r>
          <rPr>
            <sz val="9"/>
            <color indexed="81"/>
            <rFont val="Tahoma"/>
            <family val="2"/>
          </rPr>
          <t xml:space="preserve"> Informe aqui a Eficiência Média Geral da produção.
Lembrando que você tem a opção da Eficiência Média por Tipo de Máquina, basta clicar na opção.</t>
        </r>
      </text>
    </comment>
    <comment ref="J3" authorId="0" shapeId="0" xr:uid="{00000000-0006-0000-0600-000006000000}">
      <text>
        <r>
          <rPr>
            <b/>
            <sz val="9"/>
            <color indexed="81"/>
            <rFont val="Tahoma"/>
            <family val="2"/>
          </rPr>
          <t>Usuário:</t>
        </r>
        <r>
          <rPr>
            <sz val="9"/>
            <color indexed="81"/>
            <rFont val="Tahoma"/>
            <family val="2"/>
          </rPr>
          <t xml:space="preserve"> Caso trabalhe com mais de um turno por dia, informe aqui a quantidade. Se trabalha com </t>
        </r>
        <r>
          <rPr>
            <b/>
            <sz val="9"/>
            <color indexed="81"/>
            <rFont val="Tahoma"/>
            <family val="2"/>
          </rPr>
          <t>turno único</t>
        </r>
        <r>
          <rPr>
            <sz val="9"/>
            <color indexed="81"/>
            <rFont val="Tahoma"/>
            <family val="2"/>
          </rPr>
          <t xml:space="preserve">, poderá ocultar esta coluna clicando na "bolinha vermelha" que está no cabeçalho.
</t>
        </r>
        <r>
          <rPr>
            <b/>
            <sz val="9"/>
            <color indexed="81"/>
            <rFont val="Tahoma"/>
            <family val="2"/>
          </rPr>
          <t>Nota:</t>
        </r>
        <r>
          <rPr>
            <sz val="9"/>
            <color indexed="81"/>
            <rFont val="Tahoma"/>
            <family val="2"/>
          </rPr>
          <t xml:space="preserve"> Se ocultar a coluna, poderá voltar a reexibir a qualquer momento. Basta clicar no Botão "Reexibir Colunas".</t>
        </r>
      </text>
    </comment>
    <comment ref="R3" authorId="0" shapeId="0" xr:uid="{00000000-0006-0000-0600-000007000000}">
      <text>
        <r>
          <rPr>
            <sz val="9"/>
            <color indexed="81"/>
            <rFont val="Tahoma"/>
            <family val="2"/>
          </rPr>
          <t>Para opção Peças/Hora</t>
        </r>
      </text>
    </comment>
    <comment ref="R5" authorId="0" shapeId="0" xr:uid="{00000000-0006-0000-0600-000008000000}">
      <text>
        <r>
          <rPr>
            <sz val="9"/>
            <color indexed="81"/>
            <rFont val="Tahoma"/>
            <family val="2"/>
          </rPr>
          <t xml:space="preserve">Para opção do % Efic. Geral ou Máquina.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Pepe</author>
  </authors>
  <commentList>
    <comment ref="F1" authorId="0" shapeId="0" xr:uid="{00000000-0006-0000-0700-000001000000}">
      <text>
        <r>
          <rPr>
            <b/>
            <sz val="9"/>
            <color indexed="81"/>
            <rFont val="Tahoma"/>
            <family val="2"/>
          </rPr>
          <t>Usuário:</t>
        </r>
        <r>
          <rPr>
            <sz val="9"/>
            <color indexed="81"/>
            <rFont val="Tahoma"/>
            <family val="2"/>
          </rPr>
          <t xml:space="preserve"> Desproteja a Planilha e escolha a opção que utilizará.</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Pepe</author>
  </authors>
  <commentList>
    <comment ref="B1" authorId="0" shapeId="0" xr:uid="{00000000-0006-0000-0800-000001000000}">
      <text>
        <r>
          <rPr>
            <b/>
            <sz val="9"/>
            <color indexed="81"/>
            <rFont val="Tahoma"/>
            <family val="2"/>
          </rPr>
          <t>Usuário:</t>
        </r>
        <r>
          <rPr>
            <sz val="9"/>
            <color indexed="81"/>
            <rFont val="Tahoma"/>
            <family val="2"/>
          </rPr>
          <t xml:space="preserve"> Informe aqui o número da </t>
        </r>
        <r>
          <rPr>
            <b/>
            <sz val="9"/>
            <color indexed="81"/>
            <rFont val="Tahoma"/>
            <family val="2"/>
          </rPr>
          <t>OP</t>
        </r>
        <r>
          <rPr>
            <sz val="9"/>
            <color indexed="81"/>
            <rFont val="Tahoma"/>
            <family val="2"/>
          </rPr>
          <t xml:space="preserve">. Caso a OP já foi cadastrada mostrará uma mensagem na linha 3 avisando. Se você desejar cadastrar as Ops por Tamanhos ou Cores, poderá ir cadastrando as OPs com mesmo número, mas incluido uma vírgula ( , ) e ir dando uma sequência nos decimais para que as Ops fiquem sempre em ordem númérica.
</t>
        </r>
        <r>
          <rPr>
            <b/>
            <sz val="9"/>
            <color indexed="81"/>
            <rFont val="Tahoma"/>
            <family val="2"/>
          </rPr>
          <t>Exemplo:</t>
        </r>
        <r>
          <rPr>
            <sz val="9"/>
            <color indexed="81"/>
            <rFont val="Tahoma"/>
            <family val="2"/>
          </rPr>
          <t xml:space="preserve"> OP 1234,1 - 1234,2 - ..... ficando assim o mesmo número de OP e o que diferencia o Tamanho ou Cor seria os decimais.
</t>
        </r>
      </text>
    </comment>
    <comment ref="B2" authorId="0" shapeId="0" xr:uid="{00000000-0006-0000-0800-000002000000}">
      <text>
        <r>
          <rPr>
            <b/>
            <sz val="9"/>
            <color indexed="81"/>
            <rFont val="Tahoma"/>
            <family val="2"/>
          </rPr>
          <t>Usuário:</t>
        </r>
        <r>
          <rPr>
            <sz val="9"/>
            <color indexed="81"/>
            <rFont val="Tahoma"/>
            <family val="2"/>
          </rPr>
          <t xml:space="preserve"> A data tem como padrão a data atual do seu computador (hoje), mas poderá ser digitada a data que desejar. Após fazer um cadastro de OP ou clicar no "Botão Limpar", será colocado automaticamente a fórmula para mostrar a data atual ( </t>
        </r>
        <r>
          <rPr>
            <b/>
            <sz val="9"/>
            <color indexed="81"/>
            <rFont val="Tahoma"/>
            <family val="2"/>
          </rPr>
          <t>=HOJE()</t>
        </r>
        <r>
          <rPr>
            <sz val="9"/>
            <color indexed="81"/>
            <rFont val="Tahoma"/>
            <family val="2"/>
          </rPr>
          <t xml:space="preserve"> ).
</t>
        </r>
      </text>
    </comment>
    <comment ref="B3" authorId="0" shapeId="0" xr:uid="{00000000-0006-0000-0800-000003000000}">
      <text>
        <r>
          <rPr>
            <b/>
            <sz val="9"/>
            <color indexed="81"/>
            <rFont val="Tahoma"/>
            <family val="2"/>
          </rPr>
          <t>Usuário:</t>
        </r>
        <r>
          <rPr>
            <sz val="9"/>
            <color indexed="81"/>
            <rFont val="Tahoma"/>
            <family val="2"/>
          </rPr>
          <t xml:space="preserve"> Informe aqui a Referência que será utilizada nessa OP.</t>
        </r>
      </text>
    </comment>
    <comment ref="B4" authorId="0" shapeId="0" xr:uid="{00000000-0006-0000-0800-000004000000}">
      <text>
        <r>
          <rPr>
            <b/>
            <sz val="9"/>
            <color indexed="81"/>
            <rFont val="Tahoma"/>
            <family val="2"/>
          </rPr>
          <t>Usuário:</t>
        </r>
        <r>
          <rPr>
            <sz val="9"/>
            <color indexed="81"/>
            <rFont val="Tahoma"/>
            <family val="2"/>
          </rPr>
          <t xml:space="preserve"> Informe as cores que utilizará nesta OP. </t>
        </r>
        <r>
          <rPr>
            <b/>
            <sz val="9"/>
            <color indexed="81"/>
            <rFont val="Tahoma"/>
            <family val="2"/>
          </rPr>
          <t>Não é obrigatório</t>
        </r>
        <r>
          <rPr>
            <sz val="9"/>
            <color indexed="81"/>
            <rFont val="Tahoma"/>
            <family val="2"/>
          </rPr>
          <t xml:space="preserve">, mas ajudará você a não cometer erros quando for utilizar a Ficha de Acompanhamento, pois lá avisa quando a cor não está cadastrada na OP.
</t>
        </r>
        <r>
          <rPr>
            <b/>
            <sz val="9"/>
            <color indexed="81"/>
            <rFont val="Tahoma"/>
            <family val="2"/>
          </rPr>
          <t>Informando as Cores, terá estas informações para futuras consultas de OPs.</t>
        </r>
        <r>
          <rPr>
            <sz val="9"/>
            <color indexed="81"/>
            <rFont val="Tahoma"/>
            <family val="2"/>
          </rPr>
          <t xml:space="preserve">
</t>
        </r>
      </text>
    </comment>
    <comment ref="B5" authorId="0" shapeId="0" xr:uid="{00000000-0006-0000-0800-000005000000}">
      <text>
        <r>
          <rPr>
            <b/>
            <sz val="9"/>
            <color indexed="81"/>
            <rFont val="Tahoma"/>
            <family val="2"/>
          </rPr>
          <t>Usuário:</t>
        </r>
        <r>
          <rPr>
            <sz val="9"/>
            <color indexed="81"/>
            <rFont val="Tahoma"/>
            <family val="2"/>
          </rPr>
          <t xml:space="preserve"> Clique na célula para buscar um Tamanho já cadastrado, ou digite. Para evitar erros você só poderá informar Tamanhos já cadastrados. Para Tamanhos com letras, será exibido na impressão da Ficha de Acompanhamento automaticamente sempre em letra maiúscula, mesmo que informe em minúscula.</t>
        </r>
      </text>
    </comment>
    <comment ref="B6" authorId="0" shapeId="0" xr:uid="{00000000-0006-0000-0800-000006000000}">
      <text>
        <r>
          <rPr>
            <b/>
            <sz val="9"/>
            <color indexed="81"/>
            <rFont val="Tahoma"/>
            <family val="2"/>
          </rPr>
          <t>Usuário:</t>
        </r>
        <r>
          <rPr>
            <sz val="9"/>
            <color indexed="81"/>
            <rFont val="Tahoma"/>
            <family val="2"/>
          </rPr>
          <t xml:space="preserve"> Informe aqui a quantidade total de peças para esta OP, independente de cor e tamanho (você poderá alterar depois no </t>
        </r>
        <r>
          <rPr>
            <b/>
            <sz val="9"/>
            <color indexed="81"/>
            <rFont val="Tahoma"/>
            <family val="2"/>
          </rPr>
          <t>BD Todas Ops</t>
        </r>
        <r>
          <rPr>
            <sz val="9"/>
            <color indexed="81"/>
            <rFont val="Tahoma"/>
            <family val="2"/>
          </rPr>
          <t xml:space="preserve"> caso necessário). Servirá apenas para futuras consutas do que foi programado numa determinada Data, por Referência ou Cliente/Coleção. Na Ficha de Acompanhamento poderá ser informa a quantidade desejada para cada Ficha impressa.</t>
        </r>
      </text>
    </comment>
    <comment ref="B7" authorId="0" shapeId="0" xr:uid="{00000000-0006-0000-0800-000007000000}">
      <text>
        <r>
          <rPr>
            <b/>
            <sz val="9"/>
            <color indexed="81"/>
            <rFont val="Tahoma"/>
            <family val="2"/>
          </rPr>
          <t>Usuário:</t>
        </r>
        <r>
          <rPr>
            <sz val="9"/>
            <color indexed="81"/>
            <rFont val="Tahoma"/>
            <family val="2"/>
          </rPr>
          <t xml:space="preserve"> Informe aqui o Cliente/Coleção.
</t>
        </r>
      </text>
    </comment>
    <comment ref="B8" authorId="0" shapeId="0" xr:uid="{00000000-0006-0000-0800-000008000000}">
      <text>
        <r>
          <rPr>
            <b/>
            <sz val="9"/>
            <color indexed="81"/>
            <rFont val="Tahoma"/>
            <family val="2"/>
          </rPr>
          <t>Usuário:</t>
        </r>
        <r>
          <rPr>
            <sz val="9"/>
            <color indexed="81"/>
            <rFont val="Tahoma"/>
            <family val="2"/>
          </rPr>
          <t xml:space="preserve"> Informe aqui a data da previsão de entrega desta Referência. Esta data mostra na Ficha de Acompanhamento quando informada. É importante para o pessoal da produção estar ciente desta data, para poder cumprir a entrega.</t>
        </r>
      </text>
    </comment>
    <comment ref="B9" authorId="0" shapeId="0" xr:uid="{00000000-0006-0000-0800-000009000000}">
      <text>
        <r>
          <rPr>
            <b/>
            <sz val="9"/>
            <color indexed="81"/>
            <rFont val="Tahoma"/>
            <family val="2"/>
          </rPr>
          <t>Usuário:</t>
        </r>
        <r>
          <rPr>
            <sz val="9"/>
            <color indexed="81"/>
            <rFont val="Tahoma"/>
            <family val="2"/>
          </rPr>
          <t xml:space="preserve"> Use esta célula para observações que julgar necessário para acompanhar esta OP.
Está configurada com quebra de texto automático até 3 linhas. Se desejar nesta célula ir para a linha de baixo, basta segurar a tecla "Alt" pressionada e teclar "Enter".
Esta observação será mostrada automaticamente na Ficha de Acompanhamento e lá poderá ser editada caso necessário.</t>
        </r>
      </text>
    </comment>
    <comment ref="B11" authorId="0" shapeId="0" xr:uid="{00000000-0006-0000-0800-00000A000000}">
      <text>
        <r>
          <rPr>
            <b/>
            <sz val="9"/>
            <color indexed="81"/>
            <rFont val="Tahoma"/>
            <family val="2"/>
          </rPr>
          <t>Usuário:</t>
        </r>
        <r>
          <rPr>
            <sz val="9"/>
            <color indexed="81"/>
            <rFont val="Tahoma"/>
            <family val="2"/>
          </rPr>
          <t xml:space="preserve"> Estas informações foram incluidas do cadastro do Cliente/Coleção. Para copiar para esta OP, basta clicar no "Botão </t>
        </r>
        <r>
          <rPr>
            <b/>
            <sz val="9"/>
            <color indexed="81"/>
            <rFont val="Tahoma"/>
            <family val="2"/>
          </rPr>
          <t>Copiar</t>
        </r>
        <r>
          <rPr>
            <sz val="9"/>
            <color indexed="81"/>
            <rFont val="Tahoma"/>
            <family val="2"/>
          </rPr>
          <t xml:space="preserve">" abaixo das informações.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Pepe</author>
  </authors>
  <commentList>
    <comment ref="A1" authorId="0" shapeId="0" xr:uid="{00000000-0006-0000-0B00-000001000000}">
      <text>
        <r>
          <rPr>
            <b/>
            <sz val="9"/>
            <color indexed="81"/>
            <rFont val="Tahoma"/>
            <family val="2"/>
          </rPr>
          <t>Usuário:</t>
        </r>
        <r>
          <rPr>
            <sz val="9"/>
            <color indexed="81"/>
            <rFont val="Tahoma"/>
            <family val="2"/>
          </rPr>
          <t xml:space="preserve"> Cadastre nesta coluna as operações que você normalmente utiliza nas suas Referências. Não é obrigatório, mas facilitará quando você estiver fazendo a Sequência Operacional de uma Referência. Evita ter que digitar a operação, neste caso você clica e busca as operações já cadastradas.
</t>
        </r>
      </text>
    </comment>
    <comment ref="B1" authorId="0" shapeId="0" xr:uid="{00000000-0006-0000-0B00-000002000000}">
      <text>
        <r>
          <rPr>
            <b/>
            <sz val="9"/>
            <color indexed="81"/>
            <rFont val="Tahoma"/>
            <family val="2"/>
          </rPr>
          <t>Usuário:</t>
        </r>
        <r>
          <rPr>
            <sz val="9"/>
            <color indexed="81"/>
            <rFont val="Tahoma"/>
            <family val="2"/>
          </rPr>
          <t xml:space="preserve"> Clique nas células abaixo para buscar um Tipo de Máquina já cadastrado. Lembrando que aqui você não é obrigado a informar, pois uma mesma Operação poderá ser utilizada em máquinas diferentes. Mas esta informação é obrigatória na Sequência Operacional, pois é utilizada na Ficha de Balanceamento.
</t>
        </r>
      </text>
    </comment>
    <comment ref="C1" authorId="0" shapeId="0" xr:uid="{00000000-0006-0000-0B00-000003000000}">
      <text>
        <r>
          <rPr>
            <b/>
            <sz val="9"/>
            <color indexed="81"/>
            <rFont val="Tahoma"/>
            <family val="2"/>
          </rPr>
          <t>Usuário:</t>
        </r>
        <r>
          <rPr>
            <sz val="9"/>
            <color indexed="81"/>
            <rFont val="Tahoma"/>
            <family val="2"/>
          </rPr>
          <t xml:space="preserve"> Se a operação necessita de um Aparelho, clique na célula para buscar um Tipo de Aparelho já cadastrado. 
Lembrando que aqui você não é obrigado a informar, pois uma mesma Operação poderá utilizar Aparelho diferente. Mas esta informação é importante na Sequência Operacional, pois é utilizada na Ficha de Balanceamento.</t>
        </r>
      </text>
    </comment>
    <comment ref="D1" authorId="0" shapeId="0" xr:uid="{00000000-0006-0000-0B00-000004000000}">
      <text>
        <r>
          <rPr>
            <b/>
            <sz val="9"/>
            <color indexed="81"/>
            <rFont val="Tahoma"/>
            <family val="2"/>
          </rPr>
          <t>Usuário:</t>
        </r>
        <r>
          <rPr>
            <sz val="9"/>
            <color indexed="81"/>
            <rFont val="Tahoma"/>
            <family val="2"/>
          </rPr>
          <t xml:space="preserve"> Se desejar poderá informar nesta coluna o </t>
        </r>
        <r>
          <rPr>
            <b/>
            <sz val="9"/>
            <color indexed="81"/>
            <rFont val="Tahoma"/>
            <family val="2"/>
          </rPr>
          <t>tempo padrão</t>
        </r>
        <r>
          <rPr>
            <sz val="9"/>
            <color indexed="81"/>
            <rFont val="Tahoma"/>
            <family val="2"/>
          </rPr>
          <t xml:space="preserve"> da operação. Não é obrigatório aqui, pois uma mesma Operação poderá ser utilizada em diversas Sequências Operacionais e o tempo padrão poderá ser diferente.
</t>
        </r>
        <r>
          <rPr>
            <b/>
            <sz val="9"/>
            <color indexed="81"/>
            <rFont val="Tahoma"/>
            <family val="2"/>
          </rPr>
          <t>Está configurado para mostrar 2 casas decimais, você poderá alterar para mais se necessário.</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Pepe</author>
  </authors>
  <commentList>
    <comment ref="A1" authorId="0" shapeId="0" xr:uid="{00000000-0006-0000-0C00-000001000000}">
      <text>
        <r>
          <rPr>
            <b/>
            <sz val="9"/>
            <color indexed="81"/>
            <rFont val="Tahoma"/>
            <family val="2"/>
          </rPr>
          <t>Usuário:</t>
        </r>
        <r>
          <rPr>
            <sz val="9"/>
            <color indexed="81"/>
            <rFont val="Tahoma"/>
            <family val="2"/>
          </rPr>
          <t xml:space="preserve"> Informe nesta coluna códigos para as Máquinas existentes na sua empresa. Procure padronizar os códigos com 8 caracteres no máximo, eles serão utilizados na Sequência Operacional e Ficha de Balanceamento.
</t>
        </r>
      </text>
    </comment>
    <comment ref="C1" authorId="0" shapeId="0" xr:uid="{00000000-0006-0000-0C00-000002000000}">
      <text>
        <r>
          <rPr>
            <b/>
            <sz val="9"/>
            <color indexed="81"/>
            <rFont val="Tahoma"/>
            <family val="2"/>
          </rPr>
          <t>Usuário:</t>
        </r>
        <r>
          <rPr>
            <sz val="9"/>
            <color indexed="81"/>
            <rFont val="Tahoma"/>
            <family val="2"/>
          </rPr>
          <t xml:space="preserve"> É obrigatório informar aqui a Eficiência média por Máquina. Existe opção para utilizar ou não, na ficha de Balanceamento.
</t>
        </r>
        <r>
          <rPr>
            <b/>
            <sz val="9"/>
            <color indexed="81"/>
            <rFont val="Tahoma"/>
            <family val="2"/>
          </rPr>
          <t>Caso não souber sugiro deixar 80%.</t>
        </r>
        <r>
          <rPr>
            <sz val="9"/>
            <color indexed="81"/>
            <rFont val="Tahoma"/>
            <family val="2"/>
          </rPr>
          <t xml:space="preserve"> Poderá alterar a qualquer momento.
</t>
        </r>
      </text>
    </comment>
    <comment ref="D1" authorId="0" shapeId="0" xr:uid="{00000000-0006-0000-0C00-000003000000}">
      <text>
        <r>
          <rPr>
            <b/>
            <sz val="9"/>
            <color indexed="81"/>
            <rFont val="Tahoma"/>
            <family val="2"/>
          </rPr>
          <t>Usuário:</t>
        </r>
        <r>
          <rPr>
            <sz val="9"/>
            <color indexed="81"/>
            <rFont val="Tahoma"/>
            <family val="2"/>
          </rPr>
          <t xml:space="preserve"> Esta informação é somente para identificar se o Tipo de Máquina está sendo utilizado ou não, nas Sequências Operacionais.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Pepe</author>
  </authors>
  <commentList>
    <comment ref="A1" authorId="0" shapeId="0" xr:uid="{00000000-0006-0000-0D00-000001000000}">
      <text>
        <r>
          <rPr>
            <b/>
            <sz val="9"/>
            <color indexed="81"/>
            <rFont val="Tahoma"/>
            <family val="2"/>
          </rPr>
          <t>Usuário:</t>
        </r>
        <r>
          <rPr>
            <sz val="9"/>
            <color indexed="81"/>
            <rFont val="Tahoma"/>
            <family val="2"/>
          </rPr>
          <t xml:space="preserve"> Informe nesta coluna códigos para os Aparelhos existentes na sua empresa. Procure padronizar os códigos com 8 caracteres no máximo, eles serão utilizados na Sequência Operacional e Ficha de Balanceamento.
</t>
        </r>
      </text>
    </comment>
    <comment ref="C1" authorId="0" shapeId="0" xr:uid="{00000000-0006-0000-0D00-000002000000}">
      <text>
        <r>
          <rPr>
            <b/>
            <sz val="9"/>
            <color indexed="81"/>
            <rFont val="Tahoma"/>
            <family val="2"/>
          </rPr>
          <t>Usuário:</t>
        </r>
        <r>
          <rPr>
            <sz val="9"/>
            <color indexed="81"/>
            <rFont val="Tahoma"/>
            <family val="2"/>
          </rPr>
          <t xml:space="preserve"> Esta informação é somente para identificar se o Tipo de Aparelho está sendo utilizado ou não, nas Sequências Operacionais.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Pepe</author>
  </authors>
  <commentList>
    <comment ref="A1" authorId="0" shapeId="0" xr:uid="{00000000-0006-0000-0E00-000001000000}">
      <text>
        <r>
          <rPr>
            <b/>
            <sz val="9"/>
            <color indexed="81"/>
            <rFont val="Tahoma"/>
            <family val="2"/>
          </rPr>
          <t>Usuário:</t>
        </r>
        <r>
          <rPr>
            <sz val="9"/>
            <color indexed="81"/>
            <rFont val="Tahoma"/>
            <family val="2"/>
          </rPr>
          <t xml:space="preserve"> Informe aqui suas Referências. Poderá utilizar somente números ou letras + números.
</t>
        </r>
      </text>
    </comment>
  </commentList>
</comments>
</file>

<file path=xl/sharedStrings.xml><?xml version="1.0" encoding="utf-8"?>
<sst xmlns="http://schemas.openxmlformats.org/spreadsheetml/2006/main" count="226" uniqueCount="145">
  <si>
    <t>Cópia autorizada para:</t>
  </si>
  <si>
    <t xml:space="preserve">© 2012 - Pedro Paulo Andriani. Todos os direitos reservados.
</t>
  </si>
  <si>
    <t>Planilhas para Confecção</t>
  </si>
  <si>
    <t>Versão 1.0</t>
  </si>
  <si>
    <t>Tipo
Máq.</t>
  </si>
  <si>
    <t>Descrição das Máquinas</t>
  </si>
  <si>
    <t>Tempo Total =&gt;</t>
  </si>
  <si>
    <t>Observações</t>
  </si>
  <si>
    <t>Qtde de
Operad.</t>
  </si>
  <si>
    <t>Qtde de
Máq.</t>
  </si>
  <si>
    <t>Produção
pçs/Hora</t>
  </si>
  <si>
    <t>Tempo
Padrão</t>
  </si>
  <si>
    <t>Descrição operacional</t>
  </si>
  <si>
    <t>Seq.</t>
  </si>
  <si>
    <t xml:space="preserve">Qtde pçs/dia: </t>
  </si>
  <si>
    <t>Tipo
Apar.</t>
  </si>
  <si>
    <t>Descrição dos Aparelhos</t>
  </si>
  <si>
    <t>Ref.</t>
  </si>
  <si>
    <t>Descrição da Referência</t>
  </si>
  <si>
    <t>Ficha de Balanceamento</t>
  </si>
  <si>
    <t>Data do
Cadastro</t>
  </si>
  <si>
    <t>Filtro</t>
  </si>
  <si>
    <t>Sim</t>
  </si>
  <si>
    <t>Tipo de
Máquina</t>
  </si>
  <si>
    <t>Tipo de
Aparelho</t>
  </si>
  <si>
    <t>Tipo
Máquina</t>
  </si>
  <si>
    <t>Tipo
Aparelho</t>
  </si>
  <si>
    <t>Descrição  das  Operações</t>
  </si>
  <si>
    <t>Descrição das Operações</t>
  </si>
  <si>
    <t>sim</t>
  </si>
  <si>
    <t>Concatenar</t>
  </si>
  <si>
    <t>Qtde
Peças</t>
  </si>
  <si>
    <t>Somase
Máquina</t>
  </si>
  <si>
    <t>Somase
Aparelho</t>
  </si>
  <si>
    <t>Data cadastro:</t>
  </si>
  <si>
    <t>%
Efic.</t>
  </si>
  <si>
    <t>Qtde
Máq.</t>
  </si>
  <si>
    <t>Qtde
Oper.</t>
  </si>
  <si>
    <t>Sequência Operacional e Tempo Padrão</t>
  </si>
  <si>
    <t>% Efic.
Máq.</t>
  </si>
  <si>
    <t>Totais =&gt;</t>
  </si>
  <si>
    <t>Dias</t>
  </si>
  <si>
    <t>Nº OP :</t>
  </si>
  <si>
    <t>M</t>
  </si>
  <si>
    <t>Maria &amp; Maria</t>
  </si>
  <si>
    <t>Descrição das operações</t>
  </si>
  <si>
    <t>Pçs/h
100%</t>
  </si>
  <si>
    <t>Código
Costureira</t>
  </si>
  <si>
    <t>Tempo /
Pacote</t>
  </si>
  <si>
    <t>Tempo total =&gt;</t>
  </si>
  <si>
    <t>Cor :</t>
  </si>
  <si>
    <t>Qtde Peças :</t>
  </si>
  <si>
    <t>Tam. :</t>
  </si>
  <si>
    <t>Operador(a)</t>
  </si>
  <si>
    <t>Código
Operador(a)</t>
  </si>
  <si>
    <t>Descr. Ref. :</t>
  </si>
  <si>
    <t xml:space="preserve">Nº OP :  </t>
  </si>
  <si>
    <t xml:space="preserve">Qtde Peças : </t>
  </si>
  <si>
    <t xml:space="preserve">Ref. : </t>
  </si>
  <si>
    <t xml:space="preserve">Cor : </t>
  </si>
  <si>
    <t xml:space="preserve">Previsão Entrega : </t>
  </si>
  <si>
    <t xml:space="preserve">Data Emissão : </t>
  </si>
  <si>
    <t xml:space="preserve">Tam. : </t>
  </si>
  <si>
    <t xml:space="preserve">Observações : </t>
  </si>
  <si>
    <t>02</t>
  </si>
  <si>
    <t>Total Min.</t>
  </si>
  <si>
    <t>Min./dia</t>
  </si>
  <si>
    <t>Data Emissão :</t>
  </si>
  <si>
    <t>Referência :</t>
  </si>
  <si>
    <t>Cores :</t>
  </si>
  <si>
    <t>Tamanhos :</t>
  </si>
  <si>
    <t>Cliente :</t>
  </si>
  <si>
    <t>Previsão Entrega :</t>
  </si>
  <si>
    <t>Qtde de Peças :</t>
  </si>
  <si>
    <t>Cores</t>
  </si>
  <si>
    <t>Branco</t>
  </si>
  <si>
    <t>Preto</t>
  </si>
  <si>
    <t>Amarelo</t>
  </si>
  <si>
    <t>Vermelho</t>
  </si>
  <si>
    <t>Azul</t>
  </si>
  <si>
    <t>Verde</t>
  </si>
  <si>
    <t>Marinho</t>
  </si>
  <si>
    <t>Tamanhos</t>
  </si>
  <si>
    <t>P</t>
  </si>
  <si>
    <t>G</t>
  </si>
  <si>
    <t>GG</t>
  </si>
  <si>
    <t>03</t>
  </si>
  <si>
    <t>01</t>
  </si>
  <si>
    <t>2</t>
  </si>
  <si>
    <t>10</t>
  </si>
  <si>
    <t>12</t>
  </si>
  <si>
    <t>4</t>
  </si>
  <si>
    <t>6</t>
  </si>
  <si>
    <t>8</t>
  </si>
  <si>
    <t>Observações 
para esta OP:</t>
  </si>
  <si>
    <t>Pepe</t>
  </si>
  <si>
    <t>Magazine de Confecções Ltda.</t>
  </si>
  <si>
    <t>****   CLIENTE ESPECIAL  ****
Utilizar etiquetas de composição e bordada enviadas pelo Cliente.
Colocar TAGs do Cliente nas peças quando forem embaladas.</t>
  </si>
  <si>
    <t>Utilizar etiquetas do Cliente.
Colocar TAGs do Cliente nas peças quando embaladas.</t>
  </si>
  <si>
    <t>Cliente</t>
  </si>
  <si>
    <t>Previsão
Entrega</t>
  </si>
  <si>
    <t>Cor
1</t>
  </si>
  <si>
    <t>Cor
2</t>
  </si>
  <si>
    <t>Cor
3</t>
  </si>
  <si>
    <t>Cor
4</t>
  </si>
  <si>
    <t>Cor
5</t>
  </si>
  <si>
    <t>Cor
6</t>
  </si>
  <si>
    <t>Cor
7</t>
  </si>
  <si>
    <t>Cor
8</t>
  </si>
  <si>
    <t>Cor
9</t>
  </si>
  <si>
    <t>Cor
10</t>
  </si>
  <si>
    <t>Tam
1</t>
  </si>
  <si>
    <t>Tam
2</t>
  </si>
  <si>
    <t>Tam
3</t>
  </si>
  <si>
    <t>Tam
4</t>
  </si>
  <si>
    <t>Tam
5</t>
  </si>
  <si>
    <t>Tam
6</t>
  </si>
  <si>
    <t>Tam
7</t>
  </si>
  <si>
    <t>Tam
8</t>
  </si>
  <si>
    <t>Tam
9</t>
  </si>
  <si>
    <t>Tam
10</t>
  </si>
  <si>
    <t>16</t>
  </si>
  <si>
    <t>Descrição
da Ref.</t>
  </si>
  <si>
    <t>Qtde peças</t>
  </si>
  <si>
    <t>Observações que costumam utilizar, para facilitar nas novas OPs. (opcional)</t>
  </si>
  <si>
    <t>Observação: 3ª opção
Linha 2
Linha3</t>
  </si>
  <si>
    <t xml:space="preserve">                                             ***   CLIENTE ESPECIAL   ***
*** Verificar instruções das etiquetas conforme ficha técnica ***</t>
  </si>
  <si>
    <t>Data
Emissão   .</t>
  </si>
  <si>
    <t>Nº OP.   .</t>
  </si>
  <si>
    <t>Seq.   .</t>
  </si>
  <si>
    <t>Utilizado na
Seq. Oper. ?</t>
  </si>
  <si>
    <t>+ Horas</t>
  </si>
  <si>
    <t>14</t>
  </si>
  <si>
    <t>34</t>
  </si>
  <si>
    <t>36</t>
  </si>
  <si>
    <t>38</t>
  </si>
  <si>
    <t>40</t>
  </si>
  <si>
    <t>42</t>
  </si>
  <si>
    <t>44</t>
  </si>
  <si>
    <t>Tipo Máq.</t>
  </si>
  <si>
    <t>Qtde</t>
  </si>
  <si>
    <t>Resumo Máquinas</t>
  </si>
  <si>
    <t>Qtde de Turno</t>
  </si>
  <si>
    <t>%
Eficiência</t>
  </si>
  <si>
    <t>KAMYLLA ATAYZA BEZERRA FERREIRA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</si>
</sst>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lt;=99999999999]&quot;CPF: &quot;000\.000\.000\-00;&quot;CNPJ: &quot;00\.000\.000\/0000\-00"/>
    <numFmt numFmtId="165" formatCode=";;;"/>
    <numFmt numFmtId="166" formatCode="_(&quot;R$ &quot;* #,##0.00_);_(&quot;R$ &quot;* \(#,##0.00\);_(&quot;R$ &quot;* \-??_);_(@_)"/>
    <numFmt numFmtId="167" formatCode="_(* #,##0.00_);_(* \(#,##0.00\);_(* &quot;-&quot;??_);_(@_)"/>
    <numFmt numFmtId="168" formatCode="_(* #,##0.00_);_(* \(#,##0.00\);_(* \-??_);_(@_)"/>
    <numFmt numFmtId="169" formatCode="&quot;Data: &quot;dd/mm/yyyy"/>
    <numFmt numFmtId="170" formatCode="0.000"/>
  </numFmts>
  <fonts count="39" x14ac:knownFonts="1">
    <font>
      <sz val="11"/>
      <color theme="1"/>
      <name val="Calibri"/>
      <family val="2"/>
      <scheme val="minor"/>
    </font>
    <font>
      <sz val="11"/>
      <color theme="1"/>
      <name val="Calibri"/>
      <family val="2"/>
      <scheme val="minor"/>
    </font>
    <font>
      <sz val="11"/>
      <color theme="0"/>
      <name val="Calibri"/>
      <family val="2"/>
      <scheme val="minor"/>
    </font>
    <font>
      <sz val="10"/>
      <name val="Arial"/>
      <family val="2"/>
    </font>
    <font>
      <b/>
      <sz val="20"/>
      <color rgb="FFFF00FF"/>
      <name val="Arial"/>
      <family val="2"/>
    </font>
    <font>
      <b/>
      <sz val="16"/>
      <color theme="0" tint="-0.499984740745262"/>
      <name val="Arial"/>
      <family val="2"/>
    </font>
    <font>
      <b/>
      <sz val="20"/>
      <name val="Arial"/>
      <family val="2"/>
    </font>
    <font>
      <b/>
      <sz val="10"/>
      <color rgb="FF008000"/>
      <name val="Arial"/>
      <family val="2"/>
    </font>
    <font>
      <sz val="10"/>
      <color rgb="FF008000"/>
      <name val="Arial"/>
      <family val="2"/>
    </font>
    <font>
      <sz val="9"/>
      <name val="Arial"/>
      <family val="2"/>
    </font>
    <font>
      <sz val="11"/>
      <name val="Calibri"/>
      <family val="2"/>
      <scheme val="minor"/>
    </font>
    <font>
      <b/>
      <sz val="11"/>
      <color theme="1"/>
      <name val="Calibri"/>
      <family val="2"/>
      <scheme val="minor"/>
    </font>
    <font>
      <b/>
      <sz val="10"/>
      <color theme="1"/>
      <name val="Calibri"/>
      <family val="2"/>
      <scheme val="minor"/>
    </font>
    <font>
      <b/>
      <sz val="9"/>
      <color theme="1"/>
      <name val="Calibri"/>
      <family val="2"/>
      <scheme val="minor"/>
    </font>
    <font>
      <sz val="10"/>
      <color theme="1"/>
      <name val="Calibri"/>
      <family val="2"/>
      <scheme val="minor"/>
    </font>
    <font>
      <b/>
      <sz val="12"/>
      <color theme="1"/>
      <name val="Calibri"/>
      <family val="2"/>
      <scheme val="minor"/>
    </font>
    <font>
      <b/>
      <sz val="11"/>
      <name val="Arial"/>
      <family val="2"/>
    </font>
    <font>
      <b/>
      <sz val="9"/>
      <color indexed="81"/>
      <name val="Tahoma"/>
      <family val="2"/>
    </font>
    <font>
      <sz val="9"/>
      <color indexed="81"/>
      <name val="Tahoma"/>
      <family val="2"/>
    </font>
    <font>
      <b/>
      <sz val="12"/>
      <name val="Calibri"/>
      <family val="2"/>
      <scheme val="minor"/>
    </font>
    <font>
      <b/>
      <sz val="10"/>
      <name val="Arial"/>
      <family val="2"/>
    </font>
    <font>
      <sz val="12"/>
      <color theme="1"/>
      <name val="Calibri"/>
      <family val="2"/>
      <scheme val="minor"/>
    </font>
    <font>
      <sz val="16"/>
      <color theme="1"/>
      <name val="Calibri"/>
      <family val="2"/>
      <scheme val="minor"/>
    </font>
    <font>
      <sz val="9"/>
      <color theme="1"/>
      <name val="Calibri"/>
      <family val="2"/>
      <scheme val="minor"/>
    </font>
    <font>
      <b/>
      <sz val="11"/>
      <name val="Calibri"/>
      <family val="2"/>
      <scheme val="minor"/>
    </font>
    <font>
      <b/>
      <sz val="11"/>
      <color rgb="FFFF0000"/>
      <name val="Calibri"/>
      <family val="2"/>
      <scheme val="minor"/>
    </font>
    <font>
      <b/>
      <sz val="10"/>
      <color rgb="FFFF0000"/>
      <name val="Calibri"/>
      <family val="2"/>
      <scheme val="minor"/>
    </font>
    <font>
      <b/>
      <sz val="10"/>
      <name val="Calibri"/>
      <family val="2"/>
      <scheme val="minor"/>
    </font>
    <font>
      <sz val="10"/>
      <name val="Calibri"/>
      <family val="2"/>
      <scheme val="minor"/>
    </font>
    <font>
      <b/>
      <sz val="10"/>
      <color rgb="FF0000CC"/>
      <name val="Calibri"/>
      <family val="2"/>
      <scheme val="minor"/>
    </font>
    <font>
      <b/>
      <sz val="11"/>
      <color rgb="FF0000CC"/>
      <name val="Calibri"/>
      <family val="2"/>
      <scheme val="minor"/>
    </font>
    <font>
      <sz val="10"/>
      <color rgb="FF0000CC"/>
      <name val="Calibri"/>
      <family val="2"/>
      <scheme val="minor"/>
    </font>
    <font>
      <b/>
      <sz val="12"/>
      <color rgb="FF0000CC"/>
      <name val="Calibri"/>
      <family val="2"/>
      <scheme val="minor"/>
    </font>
    <font>
      <sz val="11"/>
      <color rgb="FF0000CC"/>
      <name val="Calibri"/>
      <family val="2"/>
      <scheme val="minor"/>
    </font>
    <font>
      <sz val="9"/>
      <color theme="2" tint="-0.749992370372631"/>
      <name val="Arial"/>
      <family val="2"/>
    </font>
    <font>
      <b/>
      <sz val="11"/>
      <color theme="5" tint="-0.499984740745262"/>
      <name val="Calibri"/>
      <family val="2"/>
      <scheme val="minor"/>
    </font>
    <font>
      <sz val="10"/>
      <color theme="5" tint="-0.249977111117893"/>
      <name val="Calibri"/>
      <family val="2"/>
      <scheme val="minor"/>
    </font>
    <font>
      <sz val="8"/>
      <color theme="5" tint="-0.249977111117893"/>
      <name val="Arial"/>
      <family val="2"/>
    </font>
    <font>
      <sz val="8"/>
      <color rgb="FF000000"/>
      <name val="Tahoma"/>
      <family val="2"/>
    </font>
  </fonts>
  <fills count="32">
    <fill>
      <patternFill patternType="none"/>
    </fill>
    <fill>
      <patternFill patternType="gray125"/>
    </fill>
    <fill>
      <patternFill patternType="solid">
        <fgColor theme="6" tint="0.59999389629810485"/>
        <bgColor indexed="64"/>
      </patternFill>
    </fill>
    <fill>
      <patternFill patternType="solid">
        <fgColor theme="2"/>
        <bgColor indexed="64"/>
      </patternFill>
    </fill>
    <fill>
      <patternFill patternType="solid">
        <fgColor theme="9" tint="0.79998168889431442"/>
        <bgColor indexed="64"/>
      </patternFill>
    </fill>
    <fill>
      <patternFill patternType="solid">
        <fgColor theme="9" tint="0.39997558519241921"/>
        <bgColor indexed="64"/>
      </patternFill>
    </fill>
    <fill>
      <patternFill patternType="gray125">
        <bgColor theme="9" tint="0.79995117038483843"/>
      </patternFill>
    </fill>
    <fill>
      <patternFill patternType="solid">
        <fgColor rgb="FF92D050"/>
        <bgColor indexed="64"/>
      </patternFill>
    </fill>
    <fill>
      <patternFill patternType="solid">
        <fgColor theme="8" tint="0.59999389629810485"/>
        <bgColor indexed="64"/>
      </patternFill>
    </fill>
    <fill>
      <patternFill patternType="gray125">
        <bgColor theme="9" tint="0.39997558519241921"/>
      </patternFill>
    </fill>
    <fill>
      <patternFill patternType="gray125">
        <bgColor theme="8"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rgb="FFFFFF00"/>
        <bgColor indexed="64"/>
      </patternFill>
    </fill>
    <fill>
      <gradientFill degree="90">
        <stop position="0">
          <color theme="0"/>
        </stop>
        <stop position="0.5">
          <color theme="8" tint="0.40000610370189521"/>
        </stop>
        <stop position="1">
          <color theme="0"/>
        </stop>
      </gradientFill>
    </fill>
    <fill>
      <patternFill patternType="solid">
        <fgColor rgb="FF00B0F0"/>
        <bgColor indexed="64"/>
      </patternFill>
    </fill>
    <fill>
      <patternFill patternType="solid">
        <fgColor rgb="FF66CCFF"/>
        <bgColor indexed="64"/>
      </patternFill>
    </fill>
    <fill>
      <patternFill patternType="solid">
        <fgColor theme="0" tint="-0.14999847407452621"/>
        <bgColor indexed="64"/>
      </patternFill>
    </fill>
    <fill>
      <patternFill patternType="solid">
        <fgColor theme="7" tint="0.59999389629810485"/>
        <bgColor indexed="64"/>
      </patternFill>
    </fill>
    <fill>
      <patternFill patternType="gray125">
        <bgColor theme="7" tint="0.59999389629810485"/>
      </patternFill>
    </fill>
    <fill>
      <patternFill patternType="solid">
        <fgColor theme="6" tint="0.39997558519241921"/>
        <bgColor indexed="64"/>
      </patternFill>
    </fill>
    <fill>
      <patternFill patternType="gray125">
        <bgColor theme="6" tint="0.39997558519241921"/>
      </patternFill>
    </fill>
    <fill>
      <patternFill patternType="solid">
        <fgColor theme="5" tint="0.39997558519241921"/>
        <bgColor indexed="64"/>
      </patternFill>
    </fill>
    <fill>
      <patternFill patternType="gray125">
        <bgColor theme="5" tint="0.39997558519241921"/>
      </patternFill>
    </fill>
    <fill>
      <patternFill patternType="gray125">
        <bgColor theme="0" tint="-0.14996795556505021"/>
      </patternFill>
    </fill>
    <fill>
      <patternFill patternType="gray125">
        <bgColor rgb="FF92D050"/>
      </patternFill>
    </fill>
    <fill>
      <patternFill patternType="solid">
        <fgColor theme="0" tint="-0.34998626667073579"/>
        <bgColor indexed="64"/>
      </patternFill>
    </fill>
    <fill>
      <patternFill patternType="gray125">
        <bgColor theme="6" tint="0.59999389629810485"/>
      </patternFill>
    </fill>
    <fill>
      <patternFill patternType="solid">
        <fgColor theme="8" tint="0.39997558519241921"/>
        <bgColor indexed="64"/>
      </patternFill>
    </fill>
    <fill>
      <patternFill patternType="solid">
        <fgColor theme="5" tint="0.59999389629810485"/>
        <bgColor indexed="64"/>
      </patternFill>
    </fill>
    <fill>
      <patternFill patternType="gray125">
        <bgColor theme="9" tint="0.79998168889431442"/>
      </patternFill>
    </fill>
    <fill>
      <patternFill patternType="solid">
        <fgColor theme="5" tint="0.79998168889431442"/>
        <bgColor indexed="64"/>
      </patternFill>
    </fill>
  </fills>
  <borders count="28">
    <border>
      <left/>
      <right/>
      <top/>
      <bottom/>
      <diagonal/>
    </border>
    <border>
      <left/>
      <right style="thin">
        <color theme="0"/>
      </right>
      <top/>
      <bottom/>
      <diagonal/>
    </border>
    <border>
      <left/>
      <right/>
      <top/>
      <bottom style="thin">
        <color theme="0"/>
      </bottom>
      <diagonal/>
    </border>
    <border>
      <left/>
      <right style="thin">
        <color theme="0"/>
      </right>
      <top/>
      <bottom style="thin">
        <color theme="0"/>
      </bottom>
      <diagonal/>
    </border>
    <border>
      <left/>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double">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double">
        <color indexed="64"/>
      </left>
      <right style="dotted">
        <color indexed="64"/>
      </right>
      <top style="dotted">
        <color indexed="64"/>
      </top>
      <bottom style="dotted">
        <color indexed="64"/>
      </bottom>
      <diagonal/>
    </border>
    <border>
      <left/>
      <right/>
      <top style="thin">
        <color indexed="64"/>
      </top>
      <bottom/>
      <diagonal/>
    </border>
    <border>
      <left style="thin">
        <color rgb="FF0000CC"/>
      </left>
      <right style="thin">
        <color rgb="FF0000CC"/>
      </right>
      <top style="thin">
        <color rgb="FF0000CC"/>
      </top>
      <bottom style="thin">
        <color rgb="FF0000CC"/>
      </bottom>
      <diagonal/>
    </border>
    <border>
      <left style="thin">
        <color rgb="FF0000CC"/>
      </left>
      <right/>
      <top style="thin">
        <color rgb="FF0000CC"/>
      </top>
      <bottom style="thin">
        <color rgb="FF0000CC"/>
      </bottom>
      <diagonal/>
    </border>
    <border>
      <left/>
      <right/>
      <top style="thin">
        <color rgb="FF0000CC"/>
      </top>
      <bottom style="thin">
        <color rgb="FF0000CC"/>
      </bottom>
      <diagonal/>
    </border>
    <border>
      <left/>
      <right style="thin">
        <color rgb="FF0000CC"/>
      </right>
      <top style="thin">
        <color rgb="FF0000CC"/>
      </top>
      <bottom style="thin">
        <color rgb="FF0000CC"/>
      </bottom>
      <diagonal/>
    </border>
    <border>
      <left style="thin">
        <color theme="5"/>
      </left>
      <right/>
      <top style="thin">
        <color theme="5"/>
      </top>
      <bottom/>
      <diagonal/>
    </border>
    <border>
      <left/>
      <right/>
      <top style="thin">
        <color theme="5"/>
      </top>
      <bottom/>
      <diagonal/>
    </border>
    <border>
      <left/>
      <right style="thin">
        <color theme="0"/>
      </right>
      <top style="thin">
        <color theme="5"/>
      </top>
      <bottom/>
      <diagonal/>
    </border>
    <border>
      <left style="thin">
        <color theme="5"/>
      </left>
      <right/>
      <top/>
      <bottom/>
      <diagonal/>
    </border>
    <border>
      <left style="thin">
        <color theme="5"/>
      </left>
      <right/>
      <top/>
      <bottom style="thin">
        <color theme="0"/>
      </bottom>
      <diagonal/>
    </border>
  </borders>
  <cellStyleXfs count="16">
    <xf numFmtId="0" fontId="0" fillId="0" borderId="0"/>
    <xf numFmtId="0" fontId="3" fillId="0" borderId="0"/>
    <xf numFmtId="166" fontId="9" fillId="0" borderId="5">
      <alignment horizontal="center"/>
    </xf>
    <xf numFmtId="166" fontId="3" fillId="0" borderId="0" applyFont="0" applyFill="0" applyBorder="0" applyAlignment="0" applyProtection="0"/>
    <xf numFmtId="0" fontId="3" fillId="0" borderId="0"/>
    <xf numFmtId="0" fontId="3" fillId="0" borderId="0"/>
    <xf numFmtId="0" fontId="3" fillId="0" borderId="0"/>
    <xf numFmtId="0" fontId="1" fillId="0" borderId="0"/>
    <xf numFmtId="0" fontId="3" fillId="0" borderId="0"/>
    <xf numFmtId="0" fontId="1" fillId="0" borderId="0"/>
    <xf numFmtId="0" fontId="1" fillId="0" borderId="0"/>
    <xf numFmtId="0" fontId="3" fillId="0" borderId="0"/>
    <xf numFmtId="9" fontId="3" fillId="0" borderId="0" applyFont="0" applyFill="0" applyBorder="0" applyAlignment="0" applyProtection="0"/>
    <xf numFmtId="167" fontId="3" fillId="0" borderId="0" applyFont="0" applyFill="0" applyBorder="0" applyAlignment="0" applyProtection="0"/>
    <xf numFmtId="168" fontId="3" fillId="0" borderId="0" applyFont="0" applyFill="0" applyBorder="0" applyAlignment="0" applyProtection="0"/>
    <xf numFmtId="9" fontId="1" fillId="0" borderId="0" applyFont="0" applyFill="0" applyBorder="0" applyAlignment="0" applyProtection="0"/>
  </cellStyleXfs>
  <cellXfs count="317">
    <xf numFmtId="0" fontId="0" fillId="0" borderId="0" xfId="0"/>
    <xf numFmtId="0" fontId="3" fillId="0" borderId="0" xfId="1" applyProtection="1">
      <protection hidden="1"/>
    </xf>
    <xf numFmtId="165" fontId="3" fillId="0" borderId="0" xfId="1" applyNumberFormat="1" applyProtection="1">
      <protection hidden="1"/>
    </xf>
    <xf numFmtId="165" fontId="3" fillId="0" borderId="0" xfId="1" applyNumberFormat="1" applyAlignment="1" applyProtection="1">
      <alignment horizontal="left"/>
      <protection hidden="1"/>
    </xf>
    <xf numFmtId="165" fontId="10" fillId="0" borderId="0" xfId="7" applyNumberFormat="1" applyFont="1"/>
    <xf numFmtId="14" fontId="2" fillId="0" borderId="0" xfId="7" applyNumberFormat="1" applyFont="1"/>
    <xf numFmtId="0" fontId="10" fillId="0" borderId="0" xfId="7" applyFont="1"/>
    <xf numFmtId="0" fontId="0" fillId="0" borderId="5" xfId="0" applyBorder="1" applyAlignment="1" applyProtection="1">
      <alignment shrinkToFit="1"/>
      <protection locked="0"/>
    </xf>
    <xf numFmtId="0" fontId="0" fillId="0" borderId="5" xfId="0" applyBorder="1" applyAlignment="1" applyProtection="1">
      <alignment horizontal="center"/>
      <protection locked="0"/>
    </xf>
    <xf numFmtId="0" fontId="0" fillId="0" borderId="6" xfId="0" applyBorder="1" applyAlignment="1" applyProtection="1">
      <alignment shrinkToFit="1"/>
      <protection locked="0"/>
    </xf>
    <xf numFmtId="0" fontId="0" fillId="0" borderId="6" xfId="0" applyBorder="1" applyAlignment="1" applyProtection="1">
      <alignment horizontal="center"/>
      <protection locked="0"/>
    </xf>
    <xf numFmtId="3" fontId="0" fillId="0" borderId="0" xfId="0" applyNumberFormat="1" applyAlignment="1" applyProtection="1">
      <alignment horizontal="center"/>
      <protection locked="0"/>
    </xf>
    <xf numFmtId="0" fontId="3" fillId="0" borderId="0" xfId="1"/>
    <xf numFmtId="2" fontId="3" fillId="0" borderId="5" xfId="1" applyNumberFormat="1" applyBorder="1" applyProtection="1">
      <protection locked="0"/>
    </xf>
    <xf numFmtId="0" fontId="3" fillId="0" borderId="5" xfId="1" applyBorder="1" applyAlignment="1" applyProtection="1">
      <alignment shrinkToFit="1"/>
      <protection locked="0"/>
    </xf>
    <xf numFmtId="0" fontId="0" fillId="0" borderId="0" xfId="0" applyAlignment="1">
      <alignment horizontal="center"/>
    </xf>
    <xf numFmtId="0" fontId="0" fillId="4" borderId="0" xfId="0" applyFill="1"/>
    <xf numFmtId="0" fontId="0" fillId="4" borderId="0" xfId="0" applyFill="1" applyAlignment="1">
      <alignment horizontal="center"/>
    </xf>
    <xf numFmtId="0" fontId="3" fillId="0" borderId="5" xfId="0" applyFont="1" applyBorder="1" applyAlignment="1" applyProtection="1">
      <alignment horizontal="center"/>
      <protection locked="0"/>
    </xf>
    <xf numFmtId="0" fontId="3" fillId="0" borderId="5" xfId="0" applyFont="1" applyBorder="1" applyAlignment="1" applyProtection="1">
      <alignment horizontal="left" indent="1"/>
      <protection locked="0"/>
    </xf>
    <xf numFmtId="0" fontId="19" fillId="4" borderId="8" xfId="0" applyFont="1" applyFill="1" applyBorder="1" applyAlignment="1">
      <alignment horizontal="center" vertical="center" wrapText="1"/>
    </xf>
    <xf numFmtId="0" fontId="19" fillId="5" borderId="8" xfId="0" applyFont="1" applyFill="1" applyBorder="1" applyAlignment="1">
      <alignment horizontal="center" vertical="center" wrapText="1"/>
    </xf>
    <xf numFmtId="0" fontId="0" fillId="5" borderId="0" xfId="0" applyFill="1"/>
    <xf numFmtId="0" fontId="0" fillId="5" borderId="0" xfId="0" applyFill="1" applyAlignment="1">
      <alignment horizontal="center"/>
    </xf>
    <xf numFmtId="0" fontId="20" fillId="0" borderId="5" xfId="0" applyFont="1" applyBorder="1" applyAlignment="1" applyProtection="1">
      <alignment horizontal="center"/>
      <protection locked="0"/>
    </xf>
    <xf numFmtId="0" fontId="3" fillId="6" borderId="5" xfId="0" applyFont="1" applyFill="1" applyBorder="1" applyAlignment="1">
      <alignment horizontal="center"/>
    </xf>
    <xf numFmtId="0" fontId="15" fillId="0" borderId="0" xfId="0" applyFont="1" applyAlignment="1" applyProtection="1">
      <alignment horizontal="left" vertical="center" indent="6"/>
      <protection locked="0"/>
    </xf>
    <xf numFmtId="0" fontId="0" fillId="7" borderId="0" xfId="0" applyFill="1"/>
    <xf numFmtId="0" fontId="0" fillId="7" borderId="0" xfId="0" applyFill="1" applyAlignment="1">
      <alignment horizontal="center"/>
    </xf>
    <xf numFmtId="0" fontId="15" fillId="7" borderId="0" xfId="0" applyFont="1" applyFill="1" applyAlignment="1">
      <alignment horizontal="center"/>
    </xf>
    <xf numFmtId="0" fontId="11" fillId="7" borderId="0" xfId="0" applyFont="1" applyFill="1" applyAlignment="1">
      <alignment horizontal="center"/>
    </xf>
    <xf numFmtId="0" fontId="0" fillId="7" borderId="9" xfId="0" applyFill="1" applyBorder="1" applyAlignment="1">
      <alignment horizontal="center" vertical="center" shrinkToFit="1"/>
    </xf>
    <xf numFmtId="0" fontId="0" fillId="7" borderId="6" xfId="0" applyFill="1" applyBorder="1" applyAlignment="1">
      <alignment horizontal="center" shrinkToFit="1"/>
    </xf>
    <xf numFmtId="0" fontId="0" fillId="7" borderId="0" xfId="0" applyFill="1" applyAlignment="1">
      <alignment horizontal="center" shrinkToFit="1"/>
    </xf>
    <xf numFmtId="0" fontId="3" fillId="0" borderId="5" xfId="0" applyFont="1" applyBorder="1" applyProtection="1">
      <protection locked="0"/>
    </xf>
    <xf numFmtId="0" fontId="19" fillId="8" borderId="8" xfId="0" applyFont="1" applyFill="1" applyBorder="1" applyAlignment="1">
      <alignment horizontal="center" vertical="center" wrapText="1"/>
    </xf>
    <xf numFmtId="0" fontId="0" fillId="8" borderId="0" xfId="0" applyFill="1"/>
    <xf numFmtId="0" fontId="3" fillId="9" borderId="5" xfId="0" applyFont="1" applyFill="1" applyBorder="1" applyAlignment="1">
      <alignment horizontal="center"/>
    </xf>
    <xf numFmtId="0" fontId="19" fillId="8" borderId="8" xfId="0" applyFont="1" applyFill="1" applyBorder="1" applyAlignment="1">
      <alignment horizontal="center" vertical="center"/>
    </xf>
    <xf numFmtId="0" fontId="20" fillId="10" borderId="5" xfId="0" applyFont="1" applyFill="1" applyBorder="1" applyAlignment="1">
      <alignment horizontal="center"/>
    </xf>
    <xf numFmtId="0" fontId="3" fillId="10" borderId="5" xfId="0" applyFont="1" applyFill="1" applyBorder="1" applyAlignment="1">
      <alignment horizontal="left" indent="1"/>
    </xf>
    <xf numFmtId="0" fontId="0" fillId="8" borderId="0" xfId="0" applyFill="1" applyAlignment="1">
      <alignment horizontal="center"/>
    </xf>
    <xf numFmtId="0" fontId="0" fillId="12" borderId="0" xfId="0" applyFill="1"/>
    <xf numFmtId="0" fontId="15" fillId="12" borderId="0" xfId="0" applyFont="1" applyFill="1" applyAlignment="1">
      <alignment horizontal="center" vertical="center"/>
    </xf>
    <xf numFmtId="0" fontId="0" fillId="11" borderId="6" xfId="0" applyFill="1" applyBorder="1" applyAlignment="1" applyProtection="1">
      <alignment horizontal="center"/>
      <protection locked="0"/>
    </xf>
    <xf numFmtId="0" fontId="15" fillId="12" borderId="0" xfId="0" applyFont="1" applyFill="1" applyAlignment="1">
      <alignment horizontal="right"/>
    </xf>
    <xf numFmtId="0" fontId="11" fillId="12" borderId="0" xfId="0" applyFont="1" applyFill="1" applyAlignment="1">
      <alignment horizontal="right"/>
    </xf>
    <xf numFmtId="0" fontId="11" fillId="12" borderId="7" xfId="0" applyFont="1" applyFill="1" applyBorder="1" applyAlignment="1">
      <alignment horizontal="center" vertical="center"/>
    </xf>
    <xf numFmtId="0" fontId="11" fillId="12" borderId="7" xfId="0" applyFont="1" applyFill="1" applyBorder="1" applyAlignment="1">
      <alignment horizontal="center" vertical="center" wrapText="1"/>
    </xf>
    <xf numFmtId="2" fontId="0" fillId="12" borderId="0" xfId="0" applyNumberFormat="1" applyFill="1"/>
    <xf numFmtId="2" fontId="0" fillId="11" borderId="6" xfId="0" applyNumberFormat="1" applyFill="1" applyBorder="1" applyProtection="1">
      <protection locked="0"/>
    </xf>
    <xf numFmtId="0" fontId="0" fillId="7" borderId="0" xfId="0" applyFill="1" applyAlignment="1" applyProtection="1">
      <alignment horizontal="center"/>
      <protection locked="0"/>
    </xf>
    <xf numFmtId="2" fontId="0" fillId="7" borderId="0" xfId="0" applyNumberFormat="1" applyFill="1" applyProtection="1">
      <protection locked="0"/>
    </xf>
    <xf numFmtId="0" fontId="11" fillId="7" borderId="10" xfId="0" applyFont="1" applyFill="1" applyBorder="1" applyAlignment="1">
      <alignment horizontal="center" vertical="center"/>
    </xf>
    <xf numFmtId="0" fontId="11" fillId="7" borderId="0" xfId="0" applyFont="1" applyFill="1" applyAlignment="1">
      <alignment horizontal="center" vertical="center"/>
    </xf>
    <xf numFmtId="0" fontId="11" fillId="7" borderId="0" xfId="0" applyFont="1" applyFill="1" applyAlignment="1">
      <alignment horizontal="center" vertical="center" wrapText="1"/>
    </xf>
    <xf numFmtId="0" fontId="0" fillId="3" borderId="0" xfId="0" applyFill="1" applyAlignment="1">
      <alignment horizontal="center"/>
    </xf>
    <xf numFmtId="0" fontId="0" fillId="3" borderId="0" xfId="0" applyFill="1"/>
    <xf numFmtId="0" fontId="0" fillId="3" borderId="0" xfId="0" applyFill="1" applyAlignment="1">
      <alignment horizontal="right"/>
    </xf>
    <xf numFmtId="0" fontId="13" fillId="3" borderId="0" xfId="0" applyFont="1" applyFill="1" applyAlignment="1">
      <alignment horizontal="right"/>
    </xf>
    <xf numFmtId="0" fontId="11" fillId="3" borderId="0" xfId="0" applyFont="1" applyFill="1" applyAlignment="1">
      <alignment horizontal="right"/>
    </xf>
    <xf numFmtId="0" fontId="11" fillId="3" borderId="7" xfId="0" applyFont="1" applyFill="1" applyBorder="1" applyAlignment="1">
      <alignment horizontal="center" vertical="center" wrapText="1"/>
    </xf>
    <xf numFmtId="2" fontId="0" fillId="3" borderId="6" xfId="0" applyNumberFormat="1" applyFill="1" applyBorder="1"/>
    <xf numFmtId="2" fontId="0" fillId="3" borderId="0" xfId="0" applyNumberFormat="1" applyFill="1"/>
    <xf numFmtId="0" fontId="11" fillId="0" borderId="7" xfId="0" applyFont="1" applyBorder="1" applyAlignment="1">
      <alignment horizontal="center" vertical="center" wrapText="1"/>
    </xf>
    <xf numFmtId="0" fontId="24" fillId="4" borderId="8" xfId="0" applyFont="1" applyFill="1" applyBorder="1" applyAlignment="1">
      <alignment horizontal="center" vertical="center" wrapText="1"/>
    </xf>
    <xf numFmtId="9" fontId="3" fillId="0" borderId="5" xfId="15" applyFont="1" applyFill="1" applyBorder="1" applyAlignment="1" applyProtection="1">
      <alignment horizontal="center"/>
      <protection locked="0"/>
    </xf>
    <xf numFmtId="14" fontId="14" fillId="11" borderId="0" xfId="0" applyNumberFormat="1" applyFont="1" applyFill="1" applyAlignment="1" applyProtection="1">
      <alignment horizontal="center"/>
      <protection locked="0"/>
    </xf>
    <xf numFmtId="0" fontId="14" fillId="12" borderId="0" xfId="0" applyFont="1" applyFill="1" applyAlignment="1">
      <alignment horizontal="right"/>
    </xf>
    <xf numFmtId="0" fontId="23" fillId="7" borderId="7" xfId="0" applyFont="1" applyFill="1" applyBorder="1" applyAlignment="1">
      <alignment horizontal="center" vertical="center"/>
    </xf>
    <xf numFmtId="0" fontId="23" fillId="7" borderId="7" xfId="0" applyFont="1" applyFill="1" applyBorder="1" applyAlignment="1">
      <alignment horizontal="center" vertical="center" wrapText="1"/>
    </xf>
    <xf numFmtId="0" fontId="0" fillId="0" borderId="6" xfId="0" applyBorder="1" applyAlignment="1">
      <alignment horizontal="center"/>
    </xf>
    <xf numFmtId="0" fontId="0" fillId="0" borderId="5" xfId="0" applyBorder="1" applyAlignment="1">
      <alignment horizontal="center"/>
    </xf>
    <xf numFmtId="0" fontId="0" fillId="7" borderId="5" xfId="0" applyFill="1" applyBorder="1" applyAlignment="1">
      <alignment horizontal="center"/>
    </xf>
    <xf numFmtId="14" fontId="0" fillId="0" borderId="5" xfId="0" applyNumberFormat="1" applyBorder="1" applyAlignment="1">
      <alignment horizontal="center"/>
    </xf>
    <xf numFmtId="0" fontId="0" fillId="7" borderId="5" xfId="0" applyFill="1" applyBorder="1" applyAlignment="1">
      <alignment shrinkToFit="1"/>
    </xf>
    <xf numFmtId="2" fontId="0" fillId="0" borderId="5" xfId="0" applyNumberFormat="1" applyBorder="1"/>
    <xf numFmtId="0" fontId="0" fillId="0" borderId="5" xfId="0" applyBorder="1"/>
    <xf numFmtId="0" fontId="11" fillId="0" borderId="7" xfId="0" applyFont="1" applyBorder="1" applyAlignment="1">
      <alignment horizontal="center" vertical="center"/>
    </xf>
    <xf numFmtId="165" fontId="0" fillId="12" borderId="0" xfId="0" applyNumberFormat="1" applyFill="1"/>
    <xf numFmtId="0" fontId="0" fillId="13" borderId="0" xfId="0" applyFill="1"/>
    <xf numFmtId="0" fontId="15" fillId="8" borderId="0" xfId="0" applyFont="1" applyFill="1" applyAlignment="1">
      <alignment horizontal="center" vertical="center"/>
    </xf>
    <xf numFmtId="0" fontId="14" fillId="8" borderId="0" xfId="0" applyFont="1" applyFill="1" applyAlignment="1">
      <alignment horizontal="right"/>
    </xf>
    <xf numFmtId="14" fontId="0" fillId="7" borderId="0" xfId="0" applyNumberFormat="1" applyFill="1"/>
    <xf numFmtId="0" fontId="15" fillId="8" borderId="0" xfId="0" applyFont="1" applyFill="1" applyAlignment="1">
      <alignment horizontal="right"/>
    </xf>
    <xf numFmtId="0" fontId="11" fillId="8" borderId="0" xfId="0" applyFont="1" applyFill="1" applyAlignment="1">
      <alignment horizontal="right"/>
    </xf>
    <xf numFmtId="0" fontId="11" fillId="8" borderId="0" xfId="0" applyFont="1" applyFill="1" applyAlignment="1">
      <alignment horizontal="center" vertical="center"/>
    </xf>
    <xf numFmtId="0" fontId="11" fillId="8" borderId="0" xfId="0" applyFont="1" applyFill="1" applyAlignment="1">
      <alignment horizontal="center" vertical="center" wrapText="1"/>
    </xf>
    <xf numFmtId="0" fontId="11" fillId="8" borderId="7" xfId="0" applyFont="1" applyFill="1" applyBorder="1" applyAlignment="1">
      <alignment horizontal="center" vertical="center"/>
    </xf>
    <xf numFmtId="0" fontId="11" fillId="8" borderId="7" xfId="0" applyFont="1" applyFill="1" applyBorder="1" applyAlignment="1">
      <alignment horizontal="center" vertical="center" wrapText="1"/>
    </xf>
    <xf numFmtId="0" fontId="0" fillId="8" borderId="6" xfId="0" applyFill="1" applyBorder="1" applyAlignment="1">
      <alignment horizontal="center"/>
    </xf>
    <xf numFmtId="0" fontId="0" fillId="8" borderId="5" xfId="0" applyFill="1" applyBorder="1" applyAlignment="1">
      <alignment horizontal="center"/>
    </xf>
    <xf numFmtId="2" fontId="0" fillId="8" borderId="0" xfId="0" applyNumberFormat="1" applyFill="1"/>
    <xf numFmtId="0" fontId="11" fillId="14" borderId="7" xfId="0" applyFont="1" applyFill="1" applyBorder="1" applyAlignment="1">
      <alignment horizontal="center" vertical="center" wrapText="1"/>
    </xf>
    <xf numFmtId="0" fontId="14" fillId="3" borderId="0" xfId="0" applyFont="1" applyFill="1" applyAlignment="1">
      <alignment horizontal="left" vertical="center" indent="6" shrinkToFit="1"/>
    </xf>
    <xf numFmtId="0" fontId="11" fillId="14" borderId="7" xfId="0" applyFont="1" applyFill="1" applyBorder="1" applyAlignment="1">
      <alignment horizontal="center"/>
    </xf>
    <xf numFmtId="0" fontId="21" fillId="7" borderId="0" xfId="0" applyFont="1" applyFill="1" applyAlignment="1">
      <alignment horizontal="right"/>
    </xf>
    <xf numFmtId="0" fontId="13" fillId="3" borderId="0" xfId="0" applyFont="1" applyFill="1"/>
    <xf numFmtId="0" fontId="0" fillId="7" borderId="0" xfId="0" applyFill="1" applyAlignment="1">
      <alignment horizontal="right"/>
    </xf>
    <xf numFmtId="0" fontId="0" fillId="7" borderId="7" xfId="0" applyFill="1" applyBorder="1" applyAlignment="1">
      <alignment horizontal="center" vertical="center" shrinkToFit="1"/>
    </xf>
    <xf numFmtId="0" fontId="11" fillId="7" borderId="7" xfId="0" applyFont="1" applyFill="1" applyBorder="1" applyAlignment="1">
      <alignment horizontal="center" vertical="center" wrapText="1"/>
    </xf>
    <xf numFmtId="0" fontId="11" fillId="7" borderId="7" xfId="0" applyFont="1" applyFill="1" applyBorder="1" applyAlignment="1">
      <alignment horizontal="center" vertical="center"/>
    </xf>
    <xf numFmtId="0" fontId="12" fillId="7" borderId="7" xfId="0" applyFont="1" applyFill="1" applyBorder="1" applyAlignment="1">
      <alignment horizontal="center" vertical="center" wrapText="1"/>
    </xf>
    <xf numFmtId="0" fontId="11" fillId="3" borderId="7" xfId="0" applyFont="1" applyFill="1" applyBorder="1" applyAlignment="1">
      <alignment horizontal="center" vertical="center"/>
    </xf>
    <xf numFmtId="0" fontId="12" fillId="3" borderId="7" xfId="0" applyFont="1" applyFill="1" applyBorder="1" applyAlignment="1">
      <alignment horizontal="center" vertical="center" wrapText="1"/>
    </xf>
    <xf numFmtId="0" fontId="0" fillId="3" borderId="6" xfId="0" applyFill="1" applyBorder="1" applyAlignment="1">
      <alignment horizontal="center"/>
    </xf>
    <xf numFmtId="0" fontId="0" fillId="3" borderId="5" xfId="0" applyFill="1" applyBorder="1" applyAlignment="1">
      <alignment horizontal="center"/>
    </xf>
    <xf numFmtId="2" fontId="11" fillId="14" borderId="7" xfId="0" applyNumberFormat="1" applyFont="1" applyFill="1" applyBorder="1" applyAlignment="1">
      <alignment horizontal="center" vertical="center" wrapText="1"/>
    </xf>
    <xf numFmtId="2" fontId="0" fillId="0" borderId="0" xfId="0" applyNumberFormat="1"/>
    <xf numFmtId="2" fontId="11" fillId="0" borderId="7" xfId="0" applyNumberFormat="1" applyFont="1" applyBorder="1" applyAlignment="1">
      <alignment horizontal="center" vertical="center" wrapText="1"/>
    </xf>
    <xf numFmtId="0" fontId="14" fillId="3" borderId="11" xfId="0" applyFont="1" applyFill="1" applyBorder="1" applyAlignment="1">
      <alignment vertical="center" shrinkToFit="1"/>
    </xf>
    <xf numFmtId="0" fontId="0" fillId="3" borderId="6" xfId="0" applyFill="1" applyBorder="1" applyAlignment="1">
      <alignment shrinkToFit="1"/>
    </xf>
    <xf numFmtId="9" fontId="0" fillId="3" borderId="6" xfId="15" applyFont="1" applyFill="1" applyBorder="1" applyProtection="1"/>
    <xf numFmtId="3" fontId="0" fillId="3" borderId="6" xfId="0" applyNumberFormat="1" applyFill="1" applyBorder="1"/>
    <xf numFmtId="9" fontId="0" fillId="0" borderId="0" xfId="15" applyFont="1" applyFill="1" applyAlignment="1" applyProtection="1">
      <alignment horizontal="center"/>
      <protection locked="0"/>
    </xf>
    <xf numFmtId="0" fontId="0" fillId="7" borderId="0" xfId="0" applyFill="1" applyProtection="1">
      <protection locked="0"/>
    </xf>
    <xf numFmtId="0" fontId="0" fillId="0" borderId="0" xfId="0" applyAlignment="1" applyProtection="1">
      <alignment horizontal="center"/>
      <protection locked="0"/>
    </xf>
    <xf numFmtId="169" fontId="0" fillId="0" borderId="0" xfId="0" applyNumberFormat="1" applyAlignment="1" applyProtection="1">
      <alignment horizontal="center"/>
      <protection locked="0"/>
    </xf>
    <xf numFmtId="0" fontId="12" fillId="3" borderId="0" xfId="0" applyFont="1" applyFill="1"/>
    <xf numFmtId="0" fontId="22" fillId="3" borderId="0" xfId="0" applyFont="1" applyFill="1" applyAlignment="1">
      <alignment horizontal="center" vertical="top"/>
    </xf>
    <xf numFmtId="0" fontId="14" fillId="7" borderId="0" xfId="0" applyFont="1" applyFill="1" applyProtection="1">
      <protection locked="0"/>
    </xf>
    <xf numFmtId="0" fontId="14" fillId="0" borderId="0" xfId="0" applyFont="1"/>
    <xf numFmtId="0" fontId="14" fillId="0" borderId="5" xfId="0" applyFont="1" applyBorder="1" applyAlignment="1" applyProtection="1">
      <alignment horizontal="center" shrinkToFit="1"/>
      <protection locked="0"/>
    </xf>
    <xf numFmtId="0" fontId="14" fillId="7" borderId="0" xfId="0" applyFont="1" applyFill="1"/>
    <xf numFmtId="4" fontId="14" fillId="7" borderId="0" xfId="0" applyNumberFormat="1" applyFont="1" applyFill="1" applyAlignment="1">
      <alignment vertical="center"/>
    </xf>
    <xf numFmtId="0" fontId="14" fillId="0" borderId="0" xfId="0" applyFont="1" applyAlignment="1">
      <alignment horizontal="center"/>
    </xf>
    <xf numFmtId="0" fontId="13" fillId="7" borderId="0" xfId="0" applyFont="1" applyFill="1" applyAlignment="1">
      <alignment horizontal="center" vertical="center" wrapText="1"/>
    </xf>
    <xf numFmtId="0" fontId="11" fillId="7" borderId="0" xfId="0" applyFont="1" applyFill="1" applyAlignment="1">
      <alignment horizontal="center" vertical="center" shrinkToFit="1"/>
    </xf>
    <xf numFmtId="0" fontId="0" fillId="7" borderId="0" xfId="0" applyFill="1" applyAlignment="1">
      <alignment horizontal="center" vertical="center" shrinkToFit="1"/>
    </xf>
    <xf numFmtId="0" fontId="14" fillId="15" borderId="0" xfId="0" applyFont="1" applyFill="1"/>
    <xf numFmtId="0" fontId="14" fillId="15" borderId="0" xfId="0" applyFont="1" applyFill="1" applyAlignment="1">
      <alignment horizontal="right"/>
    </xf>
    <xf numFmtId="0" fontId="14" fillId="7" borderId="0" xfId="0" applyFont="1" applyFill="1" applyAlignment="1">
      <alignment horizontal="left" shrinkToFit="1"/>
    </xf>
    <xf numFmtId="0" fontId="14" fillId="16" borderId="0" xfId="0" applyFont="1" applyFill="1"/>
    <xf numFmtId="14" fontId="14" fillId="16" borderId="0" xfId="0" applyNumberFormat="1" applyFont="1" applyFill="1" applyAlignment="1">
      <alignment horizontal="left"/>
    </xf>
    <xf numFmtId="0" fontId="14" fillId="7" borderId="0" xfId="0" applyFont="1" applyFill="1" applyAlignment="1">
      <alignment horizontal="left"/>
    </xf>
    <xf numFmtId="14" fontId="14" fillId="7" borderId="0" xfId="0" applyNumberFormat="1" applyFont="1" applyFill="1" applyAlignment="1" applyProtection="1">
      <alignment horizontal="left"/>
      <protection locked="0"/>
    </xf>
    <xf numFmtId="0" fontId="11" fillId="7" borderId="0" xfId="0" applyFont="1" applyFill="1" applyAlignment="1" applyProtection="1">
      <alignment horizontal="left"/>
      <protection locked="0"/>
    </xf>
    <xf numFmtId="0" fontId="14" fillId="16" borderId="0" xfId="0" applyFont="1" applyFill="1" applyAlignment="1">
      <alignment wrapText="1"/>
    </xf>
    <xf numFmtId="4" fontId="14" fillId="7" borderId="0" xfId="0" applyNumberFormat="1" applyFont="1" applyFill="1" applyAlignment="1">
      <alignment vertical="center" wrapText="1"/>
    </xf>
    <xf numFmtId="14" fontId="14" fillId="0" borderId="0" xfId="0" applyNumberFormat="1" applyFont="1" applyAlignment="1" applyProtection="1">
      <alignment horizontal="center"/>
      <protection locked="0"/>
    </xf>
    <xf numFmtId="0" fontId="11" fillId="0" borderId="0" xfId="0" applyFont="1" applyAlignment="1" applyProtection="1">
      <alignment horizontal="center"/>
      <protection locked="0"/>
    </xf>
    <xf numFmtId="0" fontId="14" fillId="0" borderId="0" xfId="0" applyFont="1" applyAlignment="1" applyProtection="1">
      <alignment horizontal="center"/>
      <protection locked="0"/>
    </xf>
    <xf numFmtId="3" fontId="14" fillId="0" borderId="0" xfId="0" applyNumberFormat="1" applyFont="1" applyAlignment="1" applyProtection="1">
      <alignment horizontal="center"/>
      <protection locked="0"/>
    </xf>
    <xf numFmtId="0" fontId="19" fillId="18" borderId="8" xfId="0" applyFont="1" applyFill="1" applyBorder="1" applyAlignment="1">
      <alignment horizontal="center" vertical="center"/>
    </xf>
    <xf numFmtId="0" fontId="0" fillId="18" borderId="0" xfId="0" applyFill="1"/>
    <xf numFmtId="0" fontId="3" fillId="19" borderId="5" xfId="0" applyFont="1" applyFill="1" applyBorder="1"/>
    <xf numFmtId="49" fontId="3" fillId="0" borderId="5" xfId="0" applyNumberFormat="1" applyFont="1" applyBorder="1" applyProtection="1">
      <protection locked="0"/>
    </xf>
    <xf numFmtId="0" fontId="19" fillId="20" borderId="8" xfId="0" applyFont="1" applyFill="1" applyBorder="1" applyAlignment="1">
      <alignment horizontal="center" vertical="center"/>
    </xf>
    <xf numFmtId="0" fontId="0" fillId="20" borderId="0" xfId="0" applyFill="1"/>
    <xf numFmtId="49" fontId="3" fillId="21" borderId="5" xfId="0" applyNumberFormat="1" applyFont="1" applyFill="1" applyBorder="1"/>
    <xf numFmtId="0" fontId="0" fillId="12" borderId="0" xfId="0" applyFill="1" applyAlignment="1">
      <alignment horizontal="right"/>
    </xf>
    <xf numFmtId="0" fontId="0" fillId="12" borderId="0" xfId="0" applyFill="1" applyAlignment="1">
      <alignment horizontal="right" vertical="center" wrapText="1"/>
    </xf>
    <xf numFmtId="0" fontId="14" fillId="12" borderId="0" xfId="0" applyFont="1" applyFill="1" applyAlignment="1">
      <alignment horizontal="center"/>
    </xf>
    <xf numFmtId="0" fontId="14" fillId="12" borderId="0" xfId="0" applyFont="1" applyFill="1"/>
    <xf numFmtId="0" fontId="26" fillId="12" borderId="0" xfId="0" applyFont="1" applyFill="1" applyAlignment="1">
      <alignment horizontal="center"/>
    </xf>
    <xf numFmtId="0" fontId="12" fillId="12" borderId="0" xfId="0" applyFont="1" applyFill="1" applyAlignment="1">
      <alignment vertical="center"/>
    </xf>
    <xf numFmtId="0" fontId="11" fillId="12" borderId="0" xfId="0" applyFont="1" applyFill="1" applyAlignment="1">
      <alignment horizontal="right" vertical="center" wrapText="1"/>
    </xf>
    <xf numFmtId="0" fontId="0" fillId="22" borderId="0" xfId="0" applyFill="1"/>
    <xf numFmtId="0" fontId="3" fillId="23" borderId="5" xfId="0" applyFont="1" applyFill="1" applyBorder="1" applyAlignment="1">
      <alignment horizontal="center"/>
    </xf>
    <xf numFmtId="0" fontId="0" fillId="22" borderId="0" xfId="0" applyFill="1" applyAlignment="1">
      <alignment horizontal="center"/>
    </xf>
    <xf numFmtId="0" fontId="3" fillId="23" borderId="5" xfId="0" applyFont="1" applyFill="1" applyBorder="1"/>
    <xf numFmtId="0" fontId="3" fillId="0" borderId="5" xfId="0" applyFont="1" applyBorder="1" applyAlignment="1" applyProtection="1">
      <alignment vertical="center" wrapText="1"/>
      <protection locked="0"/>
    </xf>
    <xf numFmtId="0" fontId="3" fillId="0" borderId="5" xfId="0" applyFont="1" applyBorder="1" applyAlignment="1" applyProtection="1">
      <alignment vertical="center" shrinkToFit="1"/>
      <protection locked="0"/>
    </xf>
    <xf numFmtId="0" fontId="11" fillId="17" borderId="5" xfId="0" applyFont="1" applyFill="1" applyBorder="1" applyAlignment="1">
      <alignment horizontal="center" vertical="center" wrapText="1"/>
    </xf>
    <xf numFmtId="0" fontId="14" fillId="24" borderId="0" xfId="0" applyFont="1" applyFill="1"/>
    <xf numFmtId="0" fontId="12" fillId="0" borderId="0" xfId="0" applyFont="1" applyAlignment="1">
      <alignment horizontal="center"/>
    </xf>
    <xf numFmtId="14" fontId="14" fillId="0" borderId="0" xfId="0" applyNumberFormat="1" applyFont="1"/>
    <xf numFmtId="0" fontId="0" fillId="0" borderId="5" xfId="0" applyBorder="1" applyAlignment="1">
      <alignment vertical="center" wrapText="1"/>
    </xf>
    <xf numFmtId="0" fontId="11" fillId="17" borderId="5" xfId="0" applyFont="1" applyFill="1" applyBorder="1" applyAlignment="1">
      <alignment horizontal="center" vertical="center"/>
    </xf>
    <xf numFmtId="0" fontId="14" fillId="7" borderId="0" xfId="0" applyFont="1" applyFill="1" applyAlignment="1" applyProtection="1">
      <alignment horizontal="left"/>
      <protection locked="0"/>
    </xf>
    <xf numFmtId="0" fontId="14" fillId="7" borderId="5" xfId="0" applyFont="1" applyFill="1" applyBorder="1" applyAlignment="1" applyProtection="1">
      <alignment horizontal="left" shrinkToFit="1"/>
      <protection locked="0"/>
    </xf>
    <xf numFmtId="0" fontId="0" fillId="0" borderId="5" xfId="0" applyBorder="1" applyAlignment="1">
      <alignment horizontal="center" shrinkToFit="1"/>
    </xf>
    <xf numFmtId="0" fontId="0" fillId="0" borderId="5" xfId="0" applyBorder="1" applyAlignment="1">
      <alignment shrinkToFit="1"/>
    </xf>
    <xf numFmtId="49" fontId="0" fillId="0" borderId="5" xfId="0" applyNumberFormat="1" applyBorder="1" applyAlignment="1">
      <alignment shrinkToFit="1"/>
    </xf>
    <xf numFmtId="0" fontId="11" fillId="0" borderId="5" xfId="0" applyFont="1" applyBorder="1" applyAlignment="1">
      <alignment horizontal="center" shrinkToFit="1"/>
    </xf>
    <xf numFmtId="0" fontId="14" fillId="0" borderId="0" xfId="0" applyFont="1" applyAlignment="1" applyProtection="1">
      <alignment horizontal="left"/>
      <protection locked="0"/>
    </xf>
    <xf numFmtId="49" fontId="14" fillId="0" borderId="0" xfId="0" applyNumberFormat="1" applyFont="1" applyAlignment="1" applyProtection="1">
      <alignment horizontal="left"/>
      <protection locked="0"/>
    </xf>
    <xf numFmtId="2" fontId="0" fillId="0" borderId="5" xfId="0" applyNumberFormat="1" applyBorder="1" applyAlignment="1" applyProtection="1">
      <alignment shrinkToFit="1"/>
      <protection locked="0"/>
    </xf>
    <xf numFmtId="3" fontId="14" fillId="0" borderId="5" xfId="0" applyNumberFormat="1" applyFont="1" applyBorder="1" applyAlignment="1" applyProtection="1">
      <alignment horizontal="center"/>
      <protection locked="0"/>
    </xf>
    <xf numFmtId="0" fontId="14" fillId="8" borderId="0" xfId="0" applyFont="1" applyFill="1"/>
    <xf numFmtId="0" fontId="26" fillId="8" borderId="0" xfId="0" applyFont="1" applyFill="1" applyAlignment="1">
      <alignment horizontal="center"/>
    </xf>
    <xf numFmtId="0" fontId="14" fillId="8" borderId="0" xfId="0" applyFont="1" applyFill="1" applyAlignment="1">
      <alignment horizontal="center"/>
    </xf>
    <xf numFmtId="0" fontId="11" fillId="7" borderId="5" xfId="0" applyFont="1" applyFill="1" applyBorder="1" applyAlignment="1">
      <alignment horizontal="center" shrinkToFit="1"/>
    </xf>
    <xf numFmtId="0" fontId="12" fillId="7" borderId="0" xfId="0" applyFont="1" applyFill="1" applyAlignment="1">
      <alignment horizontal="center"/>
    </xf>
    <xf numFmtId="3" fontId="0" fillId="0" borderId="5" xfId="0" applyNumberFormat="1" applyBorder="1" applyAlignment="1">
      <alignment shrinkToFit="1"/>
    </xf>
    <xf numFmtId="0" fontId="14" fillId="7" borderId="0" xfId="0" applyFont="1" applyFill="1" applyAlignment="1" applyProtection="1">
      <alignment horizontal="center"/>
      <protection locked="0"/>
    </xf>
    <xf numFmtId="0" fontId="14" fillId="0" borderId="0" xfId="0" applyFont="1" applyAlignment="1" applyProtection="1">
      <alignment horizontal="center" shrinkToFit="1"/>
      <protection locked="0"/>
    </xf>
    <xf numFmtId="49" fontId="14" fillId="0" borderId="0" xfId="0" applyNumberFormat="1" applyFont="1" applyAlignment="1" applyProtection="1">
      <alignment horizontal="center" shrinkToFit="1"/>
      <protection locked="0"/>
    </xf>
    <xf numFmtId="0" fontId="11" fillId="8" borderId="0" xfId="0" applyFont="1" applyFill="1" applyAlignment="1">
      <alignment horizontal="right" vertical="center" wrapText="1"/>
    </xf>
    <xf numFmtId="0" fontId="30" fillId="8" borderId="0" xfId="0" applyFont="1" applyFill="1" applyAlignment="1">
      <alignment horizontal="left"/>
    </xf>
    <xf numFmtId="14" fontId="31" fillId="8" borderId="0" xfId="0" applyNumberFormat="1" applyFont="1" applyFill="1" applyAlignment="1">
      <alignment horizontal="left"/>
    </xf>
    <xf numFmtId="0" fontId="31" fillId="8" borderId="0" xfId="0" applyFont="1" applyFill="1" applyAlignment="1">
      <alignment horizontal="left"/>
    </xf>
    <xf numFmtId="3" fontId="31" fillId="8" borderId="0" xfId="0" applyNumberFormat="1" applyFont="1" applyFill="1" applyAlignment="1">
      <alignment horizontal="left"/>
    </xf>
    <xf numFmtId="0" fontId="31" fillId="8" borderId="19" xfId="0" applyFont="1" applyFill="1" applyBorder="1" applyAlignment="1">
      <alignment horizontal="center" shrinkToFit="1"/>
    </xf>
    <xf numFmtId="0" fontId="32" fillId="0" borderId="0" xfId="0" applyFont="1" applyAlignment="1" applyProtection="1">
      <alignment horizontal="left" vertical="center" indent="6"/>
      <protection locked="0"/>
    </xf>
    <xf numFmtId="14" fontId="31" fillId="8" borderId="0" xfId="0" applyNumberFormat="1" applyFont="1" applyFill="1" applyAlignment="1">
      <alignment horizontal="center"/>
    </xf>
    <xf numFmtId="0" fontId="33" fillId="8" borderId="6" xfId="0" applyFont="1" applyFill="1" applyBorder="1" applyAlignment="1">
      <alignment shrinkToFit="1"/>
    </xf>
    <xf numFmtId="0" fontId="33" fillId="8" borderId="6" xfId="0" applyFont="1" applyFill="1" applyBorder="1" applyAlignment="1">
      <alignment horizontal="center"/>
    </xf>
    <xf numFmtId="2" fontId="33" fillId="8" borderId="6" xfId="0" applyNumberFormat="1" applyFont="1" applyFill="1" applyBorder="1"/>
    <xf numFmtId="2" fontId="33" fillId="8" borderId="0" xfId="0" applyNumberFormat="1" applyFont="1" applyFill="1"/>
    <xf numFmtId="49" fontId="0" fillId="7" borderId="5" xfId="0" applyNumberFormat="1" applyFill="1" applyBorder="1" applyAlignment="1">
      <alignment shrinkToFit="1"/>
    </xf>
    <xf numFmtId="0" fontId="14" fillId="17" borderId="0" xfId="0" applyFont="1" applyFill="1" applyAlignment="1">
      <alignment horizontal="center"/>
    </xf>
    <xf numFmtId="0" fontId="14" fillId="17" borderId="0" xfId="0" applyFont="1" applyFill="1"/>
    <xf numFmtId="0" fontId="14" fillId="17" borderId="0" xfId="0" applyFont="1" applyFill="1" applyAlignment="1">
      <alignment horizontal="right" vertical="center"/>
    </xf>
    <xf numFmtId="0" fontId="14" fillId="17" borderId="0" xfId="0" applyFont="1" applyFill="1" applyAlignment="1">
      <alignment vertical="center"/>
    </xf>
    <xf numFmtId="14" fontId="14" fillId="17" borderId="0" xfId="0" applyNumberFormat="1" applyFont="1" applyFill="1" applyAlignment="1">
      <alignment vertical="center"/>
    </xf>
    <xf numFmtId="0" fontId="26" fillId="17" borderId="18" xfId="0" applyFont="1" applyFill="1" applyBorder="1" applyAlignment="1">
      <alignment horizontal="center" wrapText="1"/>
    </xf>
    <xf numFmtId="0" fontId="27" fillId="17" borderId="0" xfId="0" applyFont="1" applyFill="1"/>
    <xf numFmtId="0" fontId="28" fillId="17" borderId="0" xfId="0" applyFont="1" applyFill="1"/>
    <xf numFmtId="0" fontId="14" fillId="17" borderId="0" xfId="0" applyFont="1" applyFill="1" applyAlignment="1">
      <alignment horizontal="right"/>
    </xf>
    <xf numFmtId="0" fontId="29" fillId="17" borderId="0" xfId="0" applyFont="1" applyFill="1" applyAlignment="1">
      <alignment horizontal="right"/>
    </xf>
    <xf numFmtId="0" fontId="26" fillId="17" borderId="0" xfId="0" applyFont="1" applyFill="1"/>
    <xf numFmtId="0" fontId="11" fillId="17" borderId="7" xfId="0" applyFont="1" applyFill="1" applyBorder="1" applyAlignment="1">
      <alignment horizontal="center" vertical="center"/>
    </xf>
    <xf numFmtId="0" fontId="13" fillId="17" borderId="7" xfId="0" applyFont="1" applyFill="1" applyBorder="1" applyAlignment="1">
      <alignment horizontal="center" vertical="center" wrapText="1"/>
    </xf>
    <xf numFmtId="0" fontId="13" fillId="17" borderId="12" xfId="0" applyFont="1" applyFill="1" applyBorder="1" applyAlignment="1">
      <alignment horizontal="center" vertical="center" wrapText="1"/>
    </xf>
    <xf numFmtId="0" fontId="13" fillId="17" borderId="13" xfId="0" applyFont="1" applyFill="1" applyBorder="1" applyAlignment="1">
      <alignment horizontal="center" vertical="center" wrapText="1"/>
    </xf>
    <xf numFmtId="0" fontId="14" fillId="17" borderId="6" xfId="0" applyFont="1" applyFill="1" applyBorder="1" applyAlignment="1">
      <alignment horizontal="center" vertical="center"/>
    </xf>
    <xf numFmtId="0" fontId="14" fillId="17" borderId="6" xfId="0" applyFont="1" applyFill="1" applyBorder="1" applyAlignment="1">
      <alignment vertical="center" shrinkToFit="1"/>
    </xf>
    <xf numFmtId="2" fontId="14" fillId="17" borderId="5" xfId="0" applyNumberFormat="1" applyFont="1" applyFill="1" applyBorder="1" applyAlignment="1">
      <alignment vertical="center"/>
    </xf>
    <xf numFmtId="3" fontId="14" fillId="17" borderId="10" xfId="0" applyNumberFormat="1" applyFont="1" applyFill="1" applyBorder="1" applyAlignment="1">
      <alignment horizontal="center" vertical="center"/>
    </xf>
    <xf numFmtId="0" fontId="14" fillId="17" borderId="14" xfId="0" applyFont="1" applyFill="1" applyBorder="1" applyAlignment="1">
      <alignment vertical="center"/>
    </xf>
    <xf numFmtId="0" fontId="14" fillId="17" borderId="15" xfId="0" applyFont="1" applyFill="1" applyBorder="1" applyAlignment="1">
      <alignment vertical="center"/>
    </xf>
    <xf numFmtId="3" fontId="14" fillId="17" borderId="16" xfId="0" applyNumberFormat="1" applyFont="1" applyFill="1" applyBorder="1" applyAlignment="1">
      <alignment horizontal="center" vertical="center"/>
    </xf>
    <xf numFmtId="4" fontId="14" fillId="17" borderId="16" xfId="0" applyNumberFormat="1" applyFont="1" applyFill="1" applyBorder="1" applyAlignment="1">
      <alignment vertical="center"/>
    </xf>
    <xf numFmtId="0" fontId="14" fillId="17" borderId="5" xfId="0" applyFont="1" applyFill="1" applyBorder="1" applyAlignment="1">
      <alignment horizontal="center" vertical="center"/>
    </xf>
    <xf numFmtId="0" fontId="14" fillId="17" borderId="10" xfId="0" applyFont="1" applyFill="1" applyBorder="1" applyAlignment="1">
      <alignment vertical="center"/>
    </xf>
    <xf numFmtId="0" fontId="14" fillId="17" borderId="17" xfId="0" applyFont="1" applyFill="1" applyBorder="1" applyAlignment="1">
      <alignment vertical="center"/>
    </xf>
    <xf numFmtId="0" fontId="14" fillId="17" borderId="0" xfId="0" applyFont="1" applyFill="1" applyAlignment="1">
      <alignment horizontal="center" vertical="center"/>
    </xf>
    <xf numFmtId="0" fontId="12" fillId="17" borderId="0" xfId="0" applyFont="1" applyFill="1"/>
    <xf numFmtId="0" fontId="11" fillId="17" borderId="0" xfId="0" applyFont="1" applyFill="1" applyAlignment="1">
      <alignment horizontal="right" vertical="center"/>
    </xf>
    <xf numFmtId="4" fontId="14" fillId="17" borderId="0" xfId="0" applyNumberFormat="1" applyFont="1" applyFill="1" applyAlignment="1">
      <alignment horizontal="center" vertical="center" shrinkToFit="1"/>
    </xf>
    <xf numFmtId="0" fontId="11" fillId="17" borderId="5" xfId="0" applyFont="1" applyFill="1" applyBorder="1" applyAlignment="1">
      <alignment horizontal="center"/>
    </xf>
    <xf numFmtId="0" fontId="14" fillId="7" borderId="5" xfId="0" applyFont="1" applyFill="1" applyBorder="1" applyAlignment="1">
      <alignment horizontal="center" wrapText="1"/>
    </xf>
    <xf numFmtId="14" fontId="11" fillId="17" borderId="5" xfId="0" applyNumberFormat="1" applyFont="1" applyFill="1" applyBorder="1" applyAlignment="1">
      <alignment horizontal="center" wrapText="1"/>
    </xf>
    <xf numFmtId="0" fontId="11" fillId="17" borderId="5" xfId="0" applyFont="1" applyFill="1" applyBorder="1" applyAlignment="1">
      <alignment horizontal="center" wrapText="1"/>
    </xf>
    <xf numFmtId="14" fontId="11" fillId="17" borderId="5" xfId="0" applyNumberFormat="1" applyFont="1" applyFill="1" applyBorder="1" applyAlignment="1">
      <alignment horizontal="center" vertical="center" wrapText="1"/>
    </xf>
    <xf numFmtId="0" fontId="12" fillId="17" borderId="5" xfId="0" applyFont="1" applyFill="1" applyBorder="1" applyAlignment="1">
      <alignment horizontal="center" vertical="center" wrapText="1"/>
    </xf>
    <xf numFmtId="14" fontId="14" fillId="0" borderId="5" xfId="0" applyNumberFormat="1" applyFont="1" applyBorder="1" applyAlignment="1">
      <alignment horizontal="center" shrinkToFit="1"/>
    </xf>
    <xf numFmtId="14" fontId="0" fillId="0" borderId="5" xfId="0" applyNumberFormat="1" applyBorder="1" applyAlignment="1">
      <alignment horizontal="center" shrinkToFit="1"/>
    </xf>
    <xf numFmtId="0" fontId="12" fillId="17" borderId="5" xfId="0" applyFont="1" applyFill="1" applyBorder="1" applyAlignment="1">
      <alignment horizontal="left" wrapText="1"/>
    </xf>
    <xf numFmtId="0" fontId="16" fillId="2" borderId="5" xfId="1" applyFont="1" applyFill="1" applyBorder="1" applyAlignment="1">
      <alignment horizontal="center" vertical="center"/>
    </xf>
    <xf numFmtId="0" fontId="16" fillId="2" borderId="5" xfId="1" applyFont="1" applyFill="1" applyBorder="1" applyAlignment="1">
      <alignment horizontal="center" vertical="center" wrapText="1"/>
    </xf>
    <xf numFmtId="0" fontId="3" fillId="2" borderId="0" xfId="1" applyFill="1"/>
    <xf numFmtId="0" fontId="3" fillId="27" borderId="5" xfId="1" applyFill="1" applyBorder="1" applyAlignment="1">
      <alignment shrinkToFit="1"/>
    </xf>
    <xf numFmtId="2" fontId="3" fillId="27" borderId="5" xfId="1" applyNumberFormat="1" applyFill="1" applyBorder="1"/>
    <xf numFmtId="0" fontId="32" fillId="28" borderId="0" xfId="0" applyFont="1" applyFill="1" applyAlignment="1">
      <alignment horizontal="left"/>
    </xf>
    <xf numFmtId="0" fontId="23" fillId="14" borderId="7" xfId="0" applyFont="1" applyFill="1" applyBorder="1" applyAlignment="1">
      <alignment horizontal="center"/>
    </xf>
    <xf numFmtId="0" fontId="27" fillId="4" borderId="8" xfId="0" applyFont="1" applyFill="1" applyBorder="1" applyAlignment="1">
      <alignment horizontal="center" vertical="top" wrapText="1"/>
    </xf>
    <xf numFmtId="0" fontId="27" fillId="5" borderId="8" xfId="0" applyFont="1" applyFill="1" applyBorder="1" applyAlignment="1">
      <alignment horizontal="center" vertical="top" wrapText="1"/>
    </xf>
    <xf numFmtId="0" fontId="3" fillId="5" borderId="5" xfId="0" applyFont="1" applyFill="1" applyBorder="1" applyAlignment="1">
      <alignment horizontal="center"/>
    </xf>
    <xf numFmtId="0" fontId="14" fillId="7" borderId="5" xfId="0" applyFont="1" applyFill="1" applyBorder="1"/>
    <xf numFmtId="170" fontId="14" fillId="7" borderId="5" xfId="0" applyNumberFormat="1" applyFont="1" applyFill="1" applyBorder="1"/>
    <xf numFmtId="0" fontId="35" fillId="29" borderId="0" xfId="0" applyFont="1" applyFill="1" applyAlignment="1">
      <alignment horizontal="center" vertical="center"/>
    </xf>
    <xf numFmtId="0" fontId="14" fillId="17" borderId="0" xfId="0" applyFont="1" applyFill="1" applyAlignment="1" applyProtection="1">
      <alignment horizontal="center" shrinkToFit="1"/>
      <protection hidden="1"/>
    </xf>
    <xf numFmtId="0" fontId="12" fillId="17" borderId="0" xfId="0" applyFont="1" applyFill="1" applyAlignment="1" applyProtection="1">
      <alignment horizontal="center"/>
      <protection hidden="1"/>
    </xf>
    <xf numFmtId="1" fontId="12" fillId="17" borderId="0" xfId="0" applyNumberFormat="1" applyFont="1" applyFill="1" applyAlignment="1" applyProtection="1">
      <alignment horizontal="center" shrinkToFit="1"/>
      <protection hidden="1"/>
    </xf>
    <xf numFmtId="2" fontId="12" fillId="17" borderId="0" xfId="0" applyNumberFormat="1" applyFont="1" applyFill="1" applyAlignment="1" applyProtection="1">
      <alignment horizontal="center" shrinkToFit="1"/>
      <protection hidden="1"/>
    </xf>
    <xf numFmtId="0" fontId="14" fillId="12" borderId="5" xfId="0" applyFont="1" applyFill="1" applyBorder="1" applyAlignment="1" applyProtection="1">
      <alignment horizontal="center"/>
      <protection hidden="1"/>
    </xf>
    <xf numFmtId="0" fontId="14" fillId="12" borderId="5" xfId="0" applyFont="1" applyFill="1" applyBorder="1" applyAlignment="1" applyProtection="1">
      <alignment horizontal="center" shrinkToFit="1"/>
      <protection hidden="1"/>
    </xf>
    <xf numFmtId="0" fontId="12" fillId="12" borderId="5" xfId="0" applyFont="1" applyFill="1" applyBorder="1" applyAlignment="1" applyProtection="1">
      <alignment horizontal="center"/>
      <protection hidden="1"/>
    </xf>
    <xf numFmtId="0" fontId="12" fillId="12" borderId="5" xfId="0" quotePrefix="1" applyFont="1" applyFill="1" applyBorder="1" applyAlignment="1" applyProtection="1">
      <alignment horizontal="center"/>
      <protection hidden="1"/>
    </xf>
    <xf numFmtId="4" fontId="14" fillId="12" borderId="5" xfId="0" applyNumberFormat="1" applyFont="1" applyFill="1" applyBorder="1" applyAlignment="1" applyProtection="1">
      <alignment shrinkToFit="1"/>
      <protection hidden="1"/>
    </xf>
    <xf numFmtId="1" fontId="12" fillId="12" borderId="5" xfId="0" applyNumberFormat="1" applyFont="1" applyFill="1" applyBorder="1" applyAlignment="1" applyProtection="1">
      <alignment horizontal="center" shrinkToFit="1"/>
      <protection hidden="1"/>
    </xf>
    <xf numFmtId="2" fontId="12" fillId="12" borderId="5" xfId="0" applyNumberFormat="1" applyFont="1" applyFill="1" applyBorder="1" applyAlignment="1" applyProtection="1">
      <alignment horizontal="center" shrinkToFit="1"/>
      <protection hidden="1"/>
    </xf>
    <xf numFmtId="0" fontId="19" fillId="22" borderId="8" xfId="0" applyFont="1" applyFill="1" applyBorder="1" applyAlignment="1" applyProtection="1">
      <alignment horizontal="center" vertical="center" wrapText="1"/>
      <protection hidden="1"/>
    </xf>
    <xf numFmtId="0" fontId="25" fillId="12" borderId="0" xfId="0" applyFont="1" applyFill="1" applyAlignment="1" applyProtection="1">
      <alignment vertical="center"/>
      <protection hidden="1"/>
    </xf>
    <xf numFmtId="0" fontId="0" fillId="0" borderId="5" xfId="0" applyBorder="1" applyAlignment="1" applyProtection="1">
      <alignment vertical="center" shrinkToFit="1"/>
      <protection locked="0"/>
    </xf>
    <xf numFmtId="0" fontId="12" fillId="3" borderId="7" xfId="0" applyFont="1" applyFill="1" applyBorder="1" applyAlignment="1">
      <alignment horizontal="center"/>
    </xf>
    <xf numFmtId="0" fontId="15" fillId="3" borderId="0" xfId="0" applyFont="1" applyFill="1"/>
    <xf numFmtId="0" fontId="14" fillId="7" borderId="0" xfId="0" applyFont="1" applyFill="1" applyAlignment="1" applyProtection="1">
      <alignment horizontal="left" shrinkToFit="1"/>
      <protection locked="0"/>
    </xf>
    <xf numFmtId="4" fontId="14" fillId="7" borderId="0" xfId="0" applyNumberFormat="1" applyFont="1" applyFill="1" applyAlignment="1" applyProtection="1">
      <alignment vertical="center" wrapText="1"/>
      <protection locked="0"/>
    </xf>
    <xf numFmtId="4" fontId="14" fillId="7" borderId="0" xfId="0" applyNumberFormat="1" applyFont="1" applyFill="1" applyAlignment="1" applyProtection="1">
      <alignment vertical="center"/>
      <protection locked="0"/>
    </xf>
    <xf numFmtId="0" fontId="12" fillId="24" borderId="5" xfId="0" applyFont="1" applyFill="1" applyBorder="1" applyAlignment="1">
      <alignment horizontal="center"/>
    </xf>
    <xf numFmtId="0" fontId="12" fillId="25" borderId="5" xfId="0" applyFont="1" applyFill="1" applyBorder="1" applyAlignment="1">
      <alignment horizontal="center"/>
    </xf>
    <xf numFmtId="14" fontId="14" fillId="24" borderId="5" xfId="0" applyNumberFormat="1" applyFont="1" applyFill="1" applyBorder="1" applyAlignment="1">
      <alignment shrinkToFit="1"/>
    </xf>
    <xf numFmtId="0" fontId="14" fillId="24" borderId="5" xfId="0" applyFont="1" applyFill="1" applyBorder="1" applyAlignment="1">
      <alignment horizontal="center"/>
    </xf>
    <xf numFmtId="0" fontId="14" fillId="24" borderId="5" xfId="0" applyFont="1" applyFill="1" applyBorder="1"/>
    <xf numFmtId="0" fontId="3" fillId="30" borderId="5" xfId="0" applyFont="1" applyFill="1" applyBorder="1" applyAlignment="1">
      <alignment horizontal="center"/>
    </xf>
    <xf numFmtId="0" fontId="3" fillId="29" borderId="0" xfId="1" applyFill="1" applyProtection="1">
      <protection hidden="1"/>
    </xf>
    <xf numFmtId="0" fontId="4" fillId="29" borderId="0" xfId="1" applyFont="1" applyFill="1" applyProtection="1">
      <protection hidden="1"/>
    </xf>
    <xf numFmtId="0" fontId="5" fillId="29" borderId="0" xfId="1" applyFont="1" applyFill="1" applyAlignment="1" applyProtection="1">
      <alignment vertical="center"/>
      <protection hidden="1"/>
    </xf>
    <xf numFmtId="0" fontId="3" fillId="29" borderId="1" xfId="1" applyFill="1" applyBorder="1" applyProtection="1">
      <protection hidden="1"/>
    </xf>
    <xf numFmtId="0" fontId="6" fillId="29" borderId="0" xfId="1" applyFont="1" applyFill="1" applyAlignment="1" applyProtection="1">
      <alignment horizontal="center"/>
      <protection hidden="1"/>
    </xf>
    <xf numFmtId="0" fontId="34" fillId="29" borderId="23" xfId="1" applyFont="1" applyFill="1" applyBorder="1" applyAlignment="1" applyProtection="1">
      <alignment shrinkToFit="1"/>
      <protection hidden="1"/>
    </xf>
    <xf numFmtId="0" fontId="34" fillId="29" borderId="24" xfId="1" applyFont="1" applyFill="1" applyBorder="1" applyAlignment="1" applyProtection="1">
      <alignment shrinkToFit="1"/>
      <protection hidden="1"/>
    </xf>
    <xf numFmtId="0" fontId="34" fillId="29" borderId="25" xfId="1" applyFont="1" applyFill="1" applyBorder="1" applyAlignment="1" applyProtection="1">
      <alignment shrinkToFit="1"/>
      <protection hidden="1"/>
    </xf>
    <xf numFmtId="0" fontId="3" fillId="29" borderId="26" xfId="1" applyFill="1" applyBorder="1" applyProtection="1">
      <protection hidden="1"/>
    </xf>
    <xf numFmtId="0" fontId="3" fillId="29" borderId="27" xfId="1" applyFill="1" applyBorder="1" applyProtection="1">
      <protection hidden="1"/>
    </xf>
    <xf numFmtId="0" fontId="3" fillId="31" borderId="23" xfId="1" applyFill="1" applyBorder="1" applyAlignment="1" applyProtection="1">
      <alignment horizontal="left" indent="1"/>
      <protection hidden="1"/>
    </xf>
    <xf numFmtId="0" fontId="3" fillId="31" borderId="24" xfId="1" applyFill="1" applyBorder="1" applyProtection="1">
      <protection hidden="1"/>
    </xf>
    <xf numFmtId="0" fontId="3" fillId="31" borderId="25" xfId="1" applyFill="1" applyBorder="1" applyProtection="1">
      <protection hidden="1"/>
    </xf>
    <xf numFmtId="0" fontId="3" fillId="4" borderId="5" xfId="15" applyNumberFormat="1" applyFont="1" applyFill="1" applyBorder="1" applyAlignment="1" applyProtection="1">
      <alignment horizontal="center"/>
    </xf>
    <xf numFmtId="0" fontId="37" fillId="29" borderId="4" xfId="1" applyFont="1" applyFill="1" applyBorder="1" applyAlignment="1" applyProtection="1">
      <alignment horizontal="center"/>
      <protection hidden="1"/>
    </xf>
    <xf numFmtId="0" fontId="7" fillId="31" borderId="26" xfId="1" applyFont="1" applyFill="1" applyBorder="1" applyAlignment="1" applyProtection="1">
      <alignment horizontal="left" vertical="center" indent="1" shrinkToFit="1"/>
      <protection hidden="1"/>
    </xf>
    <xf numFmtId="0" fontId="7" fillId="31" borderId="0" xfId="1" applyFont="1" applyFill="1" applyAlignment="1" applyProtection="1">
      <alignment horizontal="left" vertical="center" indent="1" shrinkToFit="1"/>
      <protection hidden="1"/>
    </xf>
    <xf numFmtId="0" fontId="7" fillId="31" borderId="1" xfId="1" applyFont="1" applyFill="1" applyBorder="1" applyAlignment="1" applyProtection="1">
      <alignment horizontal="left" vertical="center" indent="1" shrinkToFit="1"/>
      <protection hidden="1"/>
    </xf>
    <xf numFmtId="164" fontId="8" fillId="31" borderId="27" xfId="1" applyNumberFormat="1" applyFont="1" applyFill="1" applyBorder="1" applyAlignment="1" applyProtection="1">
      <alignment horizontal="left" indent="1"/>
      <protection hidden="1"/>
    </xf>
    <xf numFmtId="164" fontId="8" fillId="31" borderId="2" xfId="1" applyNumberFormat="1" applyFont="1" applyFill="1" applyBorder="1" applyAlignment="1" applyProtection="1">
      <alignment horizontal="left" indent="1"/>
      <protection hidden="1"/>
    </xf>
    <xf numFmtId="164" fontId="8" fillId="31" borderId="3" xfId="1" applyNumberFormat="1" applyFont="1" applyFill="1" applyBorder="1" applyAlignment="1" applyProtection="1">
      <alignment horizontal="left" indent="1"/>
      <protection hidden="1"/>
    </xf>
    <xf numFmtId="0" fontId="36" fillId="29" borderId="2" xfId="1" applyFont="1" applyFill="1" applyBorder="1" applyAlignment="1" applyProtection="1">
      <alignment horizontal="center" vertical="center"/>
      <protection hidden="1"/>
    </xf>
    <xf numFmtId="0" fontId="36" fillId="29" borderId="2" xfId="1" applyFont="1" applyFill="1" applyBorder="1" applyAlignment="1">
      <alignment horizontal="left" vertical="center" indent="1"/>
    </xf>
    <xf numFmtId="0" fontId="36" fillId="29" borderId="3" xfId="1" applyFont="1" applyFill="1" applyBorder="1" applyAlignment="1">
      <alignment horizontal="left" vertical="center" indent="1"/>
    </xf>
    <xf numFmtId="0" fontId="14" fillId="12" borderId="0" xfId="0" applyFont="1" applyFill="1" applyAlignment="1">
      <alignment horizontal="left" vertical="center" indent="6"/>
    </xf>
    <xf numFmtId="0" fontId="0" fillId="12" borderId="0" xfId="0" applyFill="1" applyAlignment="1">
      <alignment horizontal="center"/>
    </xf>
    <xf numFmtId="0" fontId="31" fillId="8" borderId="0" xfId="0" applyFont="1" applyFill="1" applyAlignment="1">
      <alignment horizontal="left" vertical="center" indent="6"/>
    </xf>
    <xf numFmtId="0" fontId="14" fillId="17" borderId="0" xfId="0" applyFont="1" applyFill="1" applyAlignment="1" applyProtection="1">
      <alignment horizontal="center" wrapText="1"/>
      <protection hidden="1"/>
    </xf>
    <xf numFmtId="0" fontId="14" fillId="0" borderId="0" xfId="0" applyFont="1" applyAlignment="1" applyProtection="1">
      <alignment vertical="center" wrapText="1"/>
      <protection locked="0"/>
    </xf>
    <xf numFmtId="0" fontId="14" fillId="0" borderId="0" xfId="0" applyFont="1" applyProtection="1">
      <protection locked="0"/>
    </xf>
    <xf numFmtId="0" fontId="14" fillId="3" borderId="11" xfId="0" applyFont="1" applyFill="1" applyBorder="1" applyAlignment="1">
      <alignment horizontal="left" vertical="center" indent="6" shrinkToFit="1"/>
    </xf>
    <xf numFmtId="0" fontId="14" fillId="26" borderId="0" xfId="0" applyFont="1" applyFill="1" applyAlignment="1">
      <alignment horizontal="left" vertical="center" wrapText="1"/>
    </xf>
    <xf numFmtId="0" fontId="14" fillId="0" borderId="0" xfId="0" quotePrefix="1" applyFont="1" applyProtection="1">
      <protection locked="0"/>
    </xf>
    <xf numFmtId="0" fontId="14" fillId="0" borderId="0" xfId="0" applyFont="1" applyAlignment="1" applyProtection="1">
      <alignment horizontal="left" vertical="center" wrapText="1"/>
      <protection locked="0"/>
    </xf>
    <xf numFmtId="0" fontId="31" fillId="8" borderId="0" xfId="0" applyFont="1" applyFill="1" applyAlignment="1">
      <alignment horizontal="left"/>
    </xf>
    <xf numFmtId="0" fontId="31" fillId="8" borderId="0" xfId="0" quotePrefix="1" applyFont="1" applyFill="1" applyAlignment="1">
      <alignment horizontal="left"/>
    </xf>
    <xf numFmtId="0" fontId="31" fillId="8" borderId="20" xfId="0" applyFont="1" applyFill="1" applyBorder="1" applyAlignment="1">
      <alignment horizontal="left" vertical="center" wrapText="1"/>
    </xf>
    <xf numFmtId="0" fontId="31" fillId="8" borderId="21" xfId="0" applyFont="1" applyFill="1" applyBorder="1" applyAlignment="1">
      <alignment horizontal="left" vertical="center" wrapText="1"/>
    </xf>
    <xf numFmtId="0" fontId="31" fillId="8" borderId="22" xfId="0" applyFont="1" applyFill="1" applyBorder="1" applyAlignment="1">
      <alignment horizontal="left" vertical="center" wrapText="1"/>
    </xf>
  </cellXfs>
  <cellStyles count="16">
    <cellStyle name="Estilo 1" xfId="2" xr:uid="{00000000-0005-0000-0000-000000000000}"/>
    <cellStyle name="Moeda 3" xfId="3" xr:uid="{00000000-0005-0000-0000-000001000000}"/>
    <cellStyle name="Normal" xfId="0" builtinId="0"/>
    <cellStyle name="Normal 2" xfId="1" xr:uid="{00000000-0005-0000-0000-000003000000}"/>
    <cellStyle name="Normal 2 2" xfId="4" xr:uid="{00000000-0005-0000-0000-000004000000}"/>
    <cellStyle name="Normal 2 2 2" xfId="5" xr:uid="{00000000-0005-0000-0000-000005000000}"/>
    <cellStyle name="Normal 2 3" xfId="6" xr:uid="{00000000-0005-0000-0000-000006000000}"/>
    <cellStyle name="Normal 3" xfId="7" xr:uid="{00000000-0005-0000-0000-000007000000}"/>
    <cellStyle name="Normal 4" xfId="8" xr:uid="{00000000-0005-0000-0000-000008000000}"/>
    <cellStyle name="Normal 5" xfId="9" xr:uid="{00000000-0005-0000-0000-000009000000}"/>
    <cellStyle name="Normal 6" xfId="10" xr:uid="{00000000-0005-0000-0000-00000A000000}"/>
    <cellStyle name="Normal 7" xfId="11" xr:uid="{00000000-0005-0000-0000-00000B000000}"/>
    <cellStyle name="Porcentagem" xfId="15" builtinId="5"/>
    <cellStyle name="Porcentagem 2" xfId="12" xr:uid="{00000000-0005-0000-0000-00000D000000}"/>
    <cellStyle name="Separador de milhares 2" xfId="13" xr:uid="{00000000-0005-0000-0000-00000E000000}"/>
    <cellStyle name="Separador de milhares 3" xfId="14" xr:uid="{00000000-0005-0000-0000-00000F000000}"/>
  </cellStyles>
  <dxfs count="25">
    <dxf>
      <fill>
        <patternFill>
          <bgColor rgb="FFFF0000"/>
        </patternFill>
      </fill>
    </dxf>
    <dxf>
      <fill>
        <patternFill>
          <bgColor rgb="FFFF0000"/>
        </patternFill>
      </fill>
    </dxf>
    <dxf>
      <fill>
        <patternFill>
          <bgColor rgb="FFFF0000"/>
        </patternFill>
      </fill>
    </dxf>
    <dxf>
      <font>
        <b/>
        <i val="0"/>
        <color rgb="FF008000"/>
      </font>
    </dxf>
    <dxf>
      <fill>
        <patternFill>
          <bgColor rgb="FFFF0000"/>
        </patternFill>
      </fill>
    </dxf>
    <dxf>
      <font>
        <b/>
        <i val="0"/>
        <color rgb="FF008000"/>
      </font>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ont>
        <b/>
        <i val="0"/>
        <color rgb="FFFF0000"/>
      </font>
      <fill>
        <patternFill>
          <bgColor theme="2"/>
        </patternFill>
      </fill>
    </dxf>
    <dxf>
      <fill>
        <patternFill>
          <bgColor rgb="FFFFFF0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rgb="FFFFFF00"/>
        </patternFill>
      </fill>
    </dxf>
    <dxf>
      <fill>
        <patternFill>
          <bgColor theme="0" tint="-0.34998626667073579"/>
        </patternFill>
      </fill>
      <border>
        <left style="thin">
          <color auto="1"/>
        </left>
        <right style="thin">
          <color auto="1"/>
        </right>
        <top style="thin">
          <color auto="1"/>
        </top>
        <bottom style="thin">
          <color auto="1"/>
        </bottom>
        <vertical/>
        <horizontal/>
      </border>
    </dxf>
    <dxf>
      <font>
        <b/>
        <i val="0"/>
        <color rgb="FFFF0000"/>
      </font>
    </dxf>
    <dxf>
      <fill>
        <patternFill>
          <bgColor rgb="FFFFFF00"/>
        </patternFill>
      </fill>
    </dxf>
    <dxf>
      <fill>
        <patternFill>
          <bgColor rgb="FFFF0000"/>
        </patternFill>
      </fill>
    </dxf>
    <dxf>
      <font>
        <color rgb="FFFF0000"/>
      </font>
    </dxf>
    <dxf>
      <fill>
        <patternFill>
          <bgColor rgb="FFFFFF00"/>
        </patternFill>
      </fill>
    </dxf>
    <dxf>
      <fill>
        <patternFill>
          <bgColor rgb="FFFFFF00"/>
        </patternFill>
      </fill>
    </dxf>
    <dxf>
      <font>
        <color theme="0"/>
      </font>
      <fill>
        <patternFill>
          <bgColor rgb="FFFF0000"/>
        </patternFill>
      </fill>
    </dxf>
  </dxfs>
  <tableStyles count="0" defaultTableStyle="TableStyleMedium9" defaultPivotStyle="PivotStyleLight16"/>
  <colors>
    <mruColors>
      <color rgb="FF008000"/>
      <color rgb="FF0000CC"/>
      <color rgb="FF66CCFF"/>
      <color rgb="FF00FFFF"/>
      <color rgb="FFFFFFFF"/>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CheckBox" fmlaLink="$U$1" lockText="1"/>
</file>

<file path=xl/ctrlProps/ctrlProp2.xml><?xml version="1.0" encoding="utf-8"?>
<formControlPr xmlns="http://schemas.microsoft.com/office/spreadsheetml/2009/9/main" objectType="CheckBox" fmlaLink="$U$2" lockText="1"/>
</file>

<file path=xl/ctrlProps/ctrlProp3.xml><?xml version="1.0" encoding="utf-8"?>
<formControlPr xmlns="http://schemas.microsoft.com/office/spreadsheetml/2009/9/main" objectType="CheckBox" fmlaLink="$AE$9" lockText="1"/>
</file>

<file path=xl/ctrlProps/ctrlProp4.xml><?xml version="1.0" encoding="utf-8"?>
<formControlPr xmlns="http://schemas.microsoft.com/office/spreadsheetml/2009/9/main" objectType="CheckBox" fmlaLink="$AE$10" lockText="1"/>
</file>

<file path=xl/ctrlProps/ctrlProp5.xml><?xml version="1.0" encoding="utf-8"?>
<formControlPr xmlns="http://schemas.microsoft.com/office/spreadsheetml/2009/9/main" objectType="CheckBox" fmlaLink="$AE$11" lockText="1"/>
</file>

<file path=xl/ctrlProps/ctrlProp6.xml><?xml version="1.0" encoding="utf-8"?>
<formControlPr xmlns="http://schemas.microsoft.com/office/spreadsheetml/2009/9/main" objectType="CheckBox" fmlaLink="$AE$12" lockText="1"/>
</file>

<file path=xl/ctrlProps/ctrlProp7.xml><?xml version="1.0" encoding="utf-8"?>
<formControlPr xmlns="http://schemas.microsoft.com/office/spreadsheetml/2009/9/main" objectType="CheckBox" fmlaLink="$AE$13" lockText="1"/>
</file>

<file path=xl/ctrlProps/ctrlProp8.xml><?xml version="1.0" encoding="utf-8"?>
<formControlPr xmlns="http://schemas.microsoft.com/office/spreadsheetml/2009/9/main" objectType="CheckBox" fmlaLink="$AE$14" lockText="1"/>
</file>

<file path=xl/ctrlProps/ctrlProp9.xml><?xml version="1.0" encoding="utf-8"?>
<formControlPr xmlns="http://schemas.microsoft.com/office/spreadsheetml/2009/9/main" objectType="CheckBox" fmlaLink="$AE$15" lockText="1"/>
</file>

<file path=xl/ctrlProps/ctrlProp10.xml><?xml version="1.0" encoding="utf-8"?>
<formControlPr xmlns="http://schemas.microsoft.com/office/spreadsheetml/2009/9/main" objectType="CheckBox" fmlaLink="$AE$16" lockText="1"/>
</file>

<file path=xl/ctrlProps/ctrlProp11.xml><?xml version="1.0" encoding="utf-8"?>
<formControlPr xmlns="http://schemas.microsoft.com/office/spreadsheetml/2009/9/main" objectType="CheckBox" fmlaLink="$AE$17" lockText="1"/>
</file>

<file path=xl/ctrlProps/ctrlProp12.xml><?xml version="1.0" encoding="utf-8"?>
<formControlPr xmlns="http://schemas.microsoft.com/office/spreadsheetml/2009/9/main" objectType="CheckBox" fmlaLink="$AE$18" lockText="1"/>
</file>

<file path=xl/ctrlProps/ctrlProp13.xml><?xml version="1.0" encoding="utf-8"?>
<formControlPr xmlns="http://schemas.microsoft.com/office/spreadsheetml/2009/9/main" objectType="CheckBox" fmlaLink="$AE$19" lockText="1"/>
</file>

<file path=xl/ctrlProps/ctrlProp14.xml><?xml version="1.0" encoding="utf-8"?>
<formControlPr xmlns="http://schemas.microsoft.com/office/spreadsheetml/2009/9/main" objectType="CheckBox" fmlaLink="$AE$20" lockText="1"/>
</file>

<file path=xl/ctrlProps/ctrlProp15.xml><?xml version="1.0" encoding="utf-8"?>
<formControlPr xmlns="http://schemas.microsoft.com/office/spreadsheetml/2009/9/main" objectType="CheckBox" fmlaLink="$AE$21" lockText="1"/>
</file>

<file path=xl/ctrlProps/ctrlProp16.xml><?xml version="1.0" encoding="utf-8"?>
<formControlPr xmlns="http://schemas.microsoft.com/office/spreadsheetml/2009/9/main" objectType="CheckBox" fmlaLink="$AE$22" lockText="1"/>
</file>

<file path=xl/ctrlProps/ctrlProp17.xml><?xml version="1.0" encoding="utf-8"?>
<formControlPr xmlns="http://schemas.microsoft.com/office/spreadsheetml/2009/9/main" objectType="CheckBox" fmlaLink="$AE$23" lockText="1"/>
</file>

<file path=xl/ctrlProps/ctrlProp18.xml><?xml version="1.0" encoding="utf-8"?>
<formControlPr xmlns="http://schemas.microsoft.com/office/spreadsheetml/2009/9/main" objectType="CheckBox" fmlaLink="$AE$24" lockText="1"/>
</file>

<file path=xl/ctrlProps/ctrlProp19.xml><?xml version="1.0" encoding="utf-8"?>
<formControlPr xmlns="http://schemas.microsoft.com/office/spreadsheetml/2009/9/main" objectType="CheckBox" fmlaLink="$AE$25" lockText="1"/>
</file>

<file path=xl/ctrlProps/ctrlProp20.xml><?xml version="1.0" encoding="utf-8"?>
<formControlPr xmlns="http://schemas.microsoft.com/office/spreadsheetml/2009/9/main" objectType="CheckBox" fmlaLink="$AE$26" lockText="1"/>
</file>

<file path=xl/ctrlProps/ctrlProp21.xml><?xml version="1.0" encoding="utf-8"?>
<formControlPr xmlns="http://schemas.microsoft.com/office/spreadsheetml/2009/9/main" objectType="CheckBox" fmlaLink="$AE$27" lockText="1"/>
</file>

<file path=xl/ctrlProps/ctrlProp22.xml><?xml version="1.0" encoding="utf-8"?>
<formControlPr xmlns="http://schemas.microsoft.com/office/spreadsheetml/2009/9/main" objectType="CheckBox" fmlaLink="$AE$28" lockText="1"/>
</file>

<file path=xl/ctrlProps/ctrlProp23.xml><?xml version="1.0" encoding="utf-8"?>
<formControlPr xmlns="http://schemas.microsoft.com/office/spreadsheetml/2009/9/main" objectType="CheckBox" fmlaLink="$AE$29" lockText="1"/>
</file>

<file path=xl/ctrlProps/ctrlProp24.xml><?xml version="1.0" encoding="utf-8"?>
<formControlPr xmlns="http://schemas.microsoft.com/office/spreadsheetml/2009/9/main" objectType="CheckBox" fmlaLink="$AE$30" lockText="1"/>
</file>

<file path=xl/ctrlProps/ctrlProp25.xml><?xml version="1.0" encoding="utf-8"?>
<formControlPr xmlns="http://schemas.microsoft.com/office/spreadsheetml/2009/9/main" objectType="CheckBox" fmlaLink="$AE$31" lockText="1"/>
</file>

<file path=xl/ctrlProps/ctrlProp26.xml><?xml version="1.0" encoding="utf-8"?>
<formControlPr xmlns="http://schemas.microsoft.com/office/spreadsheetml/2009/9/main" objectType="CheckBox" fmlaLink="$AE$32" lockText="1"/>
</file>

<file path=xl/ctrlProps/ctrlProp27.xml><?xml version="1.0" encoding="utf-8"?>
<formControlPr xmlns="http://schemas.microsoft.com/office/spreadsheetml/2009/9/main" objectType="CheckBox" fmlaLink="$AE$33" lockText="1"/>
</file>

<file path=xl/ctrlProps/ctrlProp28.xml><?xml version="1.0" encoding="utf-8"?>
<formControlPr xmlns="http://schemas.microsoft.com/office/spreadsheetml/2009/9/main" objectType="CheckBox" fmlaLink="$AE$34" lockText="1"/>
</file>

<file path=xl/ctrlProps/ctrlProp29.xml><?xml version="1.0" encoding="utf-8"?>
<formControlPr xmlns="http://schemas.microsoft.com/office/spreadsheetml/2009/9/main" objectType="CheckBox" fmlaLink="$AE$35" lockText="1"/>
</file>

<file path=xl/ctrlProps/ctrlProp30.xml><?xml version="1.0" encoding="utf-8"?>
<formControlPr xmlns="http://schemas.microsoft.com/office/spreadsheetml/2009/9/main" objectType="CheckBox" fmlaLink="$AE$36" lockText="1"/>
</file>

<file path=xl/ctrlProps/ctrlProp31.xml><?xml version="1.0" encoding="utf-8"?>
<formControlPr xmlns="http://schemas.microsoft.com/office/spreadsheetml/2009/9/main" objectType="CheckBox" fmlaLink="$AE$37" lockText="1"/>
</file>

<file path=xl/ctrlProps/ctrlProp32.xml><?xml version="1.0" encoding="utf-8"?>
<formControlPr xmlns="http://schemas.microsoft.com/office/spreadsheetml/2009/9/main" objectType="CheckBox" fmlaLink="$AE$38" lockText="1"/>
</file>

<file path=xl/ctrlProps/ctrlProp33.xml><?xml version="1.0" encoding="utf-8"?>
<formControlPr xmlns="http://schemas.microsoft.com/office/spreadsheetml/2009/9/main" objectType="CheckBox" fmlaLink="$AE$39" lockText="1"/>
</file>

<file path=xl/ctrlProps/ctrlProp34.xml><?xml version="1.0" encoding="utf-8"?>
<formControlPr xmlns="http://schemas.microsoft.com/office/spreadsheetml/2009/9/main" objectType="CheckBox" fmlaLink="$AE$40" lockText="1"/>
</file>

<file path=xl/ctrlProps/ctrlProp35.xml><?xml version="1.0" encoding="utf-8"?>
<formControlPr xmlns="http://schemas.microsoft.com/office/spreadsheetml/2009/9/main" objectType="CheckBox" fmlaLink="$AE$41" lockText="1"/>
</file>

<file path=xl/ctrlProps/ctrlProp36.xml><?xml version="1.0" encoding="utf-8"?>
<formControlPr xmlns="http://schemas.microsoft.com/office/spreadsheetml/2009/9/main" objectType="CheckBox" fmlaLink="$AE$42" lockText="1"/>
</file>

<file path=xl/ctrlProps/ctrlProp37.xml><?xml version="1.0" encoding="utf-8"?>
<formControlPr xmlns="http://schemas.microsoft.com/office/spreadsheetml/2009/9/main" objectType="CheckBox" fmlaLink="$AE$43" lockText="1"/>
</file>

<file path=xl/ctrlProps/ctrlProp38.xml><?xml version="1.0" encoding="utf-8"?>
<formControlPr xmlns="http://schemas.microsoft.com/office/spreadsheetml/2009/9/main" objectType="CheckBox" fmlaLink="$AE$44" lockText="1"/>
</file>

<file path=xl/ctrlProps/ctrlProp39.xml><?xml version="1.0" encoding="utf-8"?>
<formControlPr xmlns="http://schemas.microsoft.com/office/spreadsheetml/2009/9/main" objectType="CheckBox" fmlaLink="$AE$45" lockText="1"/>
</file>

<file path=xl/ctrlProps/ctrlProp40.xml><?xml version="1.0" encoding="utf-8"?>
<formControlPr xmlns="http://schemas.microsoft.com/office/spreadsheetml/2009/9/main" objectType="CheckBox" fmlaLink="$AE$46" lockText="1"/>
</file>

<file path=xl/ctrlProps/ctrlProp41.xml><?xml version="1.0" encoding="utf-8"?>
<formControlPr xmlns="http://schemas.microsoft.com/office/spreadsheetml/2009/9/main" objectType="CheckBox" fmlaLink="$AE$47" lockText="1"/>
</file>

<file path=xl/ctrlProps/ctrlProp42.xml><?xml version="1.0" encoding="utf-8"?>
<formControlPr xmlns="http://schemas.microsoft.com/office/spreadsheetml/2009/9/main" objectType="CheckBox" fmlaLink="$AE$48" lockText="1"/>
</file>

<file path=xl/ctrlProps/ctrlProp43.xml><?xml version="1.0" encoding="utf-8"?>
<formControlPr xmlns="http://schemas.microsoft.com/office/spreadsheetml/2009/9/main" objectType="CheckBox" fmlaLink="$AE$49" lockText="1"/>
</file>

<file path=xl/ctrlProps/ctrlProp44.xml><?xml version="1.0" encoding="utf-8"?>
<formControlPr xmlns="http://schemas.microsoft.com/office/spreadsheetml/2009/9/main" objectType="CheckBox" fmlaLink="$AE$50" lockText="1"/>
</file>

<file path=xl/ctrlProps/ctrlProp45.xml><?xml version="1.0" encoding="utf-8"?>
<formControlPr xmlns="http://schemas.microsoft.com/office/spreadsheetml/2009/9/main" objectType="CheckBox" fmlaLink="$AE$51" lockText="1"/>
</file>

<file path=xl/ctrlProps/ctrlProp46.xml><?xml version="1.0" encoding="utf-8"?>
<formControlPr xmlns="http://schemas.microsoft.com/office/spreadsheetml/2009/9/main" objectType="CheckBox" fmlaLink="$AE$52" lockText="1"/>
</file>

<file path=xl/ctrlProps/ctrlProp47.xml><?xml version="1.0" encoding="utf-8"?>
<formControlPr xmlns="http://schemas.microsoft.com/office/spreadsheetml/2009/9/main" objectType="CheckBox" fmlaLink="$AE$53" lockText="1"/>
</file>

<file path=xl/ctrlProps/ctrlProp48.xml><?xml version="1.0" encoding="utf-8"?>
<formControlPr xmlns="http://schemas.microsoft.com/office/spreadsheetml/2009/9/main" objectType="CheckBox" fmlaLink="$AE$54" lockText="1"/>
</file>

<file path=xl/ctrlProps/ctrlProp49.xml><?xml version="1.0" encoding="utf-8"?>
<formControlPr xmlns="http://schemas.microsoft.com/office/spreadsheetml/2009/9/main" objectType="CheckBox" fmlaLink="$AE$55" lockText="1"/>
</file>

<file path=xl/ctrlProps/ctrlProp50.xml><?xml version="1.0" encoding="utf-8"?>
<formControlPr xmlns="http://schemas.microsoft.com/office/spreadsheetml/2009/9/main" objectType="CheckBox" fmlaLink="$AE$56" lockText="1"/>
</file>

<file path=xl/ctrlProps/ctrlProp51.xml><?xml version="1.0" encoding="utf-8"?>
<formControlPr xmlns="http://schemas.microsoft.com/office/spreadsheetml/2009/9/main" objectType="CheckBox" fmlaLink="$AE$57" lockText="1"/>
</file>

<file path=xl/ctrlProps/ctrlProp52.xml><?xml version="1.0" encoding="utf-8"?>
<formControlPr xmlns="http://schemas.microsoft.com/office/spreadsheetml/2009/9/main" objectType="CheckBox" fmlaLink="$AE$58" lockText="1"/>
</file>

<file path=xl/ctrlProps/ctrlProp53.xml><?xml version="1.0" encoding="utf-8"?>
<formControlPr xmlns="http://schemas.microsoft.com/office/spreadsheetml/2009/9/main" objectType="CheckBox" fmlaLink="$AE$59" lockText="1"/>
</file>

<file path=xl/ctrlProps/ctrlProp54.xml><?xml version="1.0" encoding="utf-8"?>
<formControlPr xmlns="http://schemas.microsoft.com/office/spreadsheetml/2009/9/main" objectType="CheckBox" fmlaLink="$AE$60" lockText="1"/>
</file>

<file path=xl/ctrlProps/ctrlProp55.xml><?xml version="1.0" encoding="utf-8"?>
<formControlPr xmlns="http://schemas.microsoft.com/office/spreadsheetml/2009/9/main" objectType="CheckBox" fmlaLink="$AE$61" lockText="1"/>
</file>

<file path=xl/ctrlProps/ctrlProp56.xml><?xml version="1.0" encoding="utf-8"?>
<formControlPr xmlns="http://schemas.microsoft.com/office/spreadsheetml/2009/9/main" objectType="CheckBox" fmlaLink="$AE$62" lockText="1"/>
</file>

<file path=xl/ctrlProps/ctrlProp57.xml><?xml version="1.0" encoding="utf-8"?>
<formControlPr xmlns="http://schemas.microsoft.com/office/spreadsheetml/2009/9/main" objectType="CheckBox" fmlaLink="$AE$63" lockText="1"/>
</file>

<file path=xl/ctrlProps/ctrlProp58.xml><?xml version="1.0" encoding="utf-8"?>
<formControlPr xmlns="http://schemas.microsoft.com/office/spreadsheetml/2009/9/main" objectType="CheckBox" fmlaLink="$AE$64" lockText="1"/>
</file>

<file path=xl/ctrlProps/ctrlProp59.xml><?xml version="1.0" encoding="utf-8"?>
<formControlPr xmlns="http://schemas.microsoft.com/office/spreadsheetml/2009/9/main" objectType="CheckBox" fmlaLink="$AE$65" lockText="1"/>
</file>

<file path=xl/ctrlProps/ctrlProp60.xml><?xml version="1.0" encoding="utf-8"?>
<formControlPr xmlns="http://schemas.microsoft.com/office/spreadsheetml/2009/9/main" objectType="CheckBox" fmlaLink="$AE$66" lockText="1"/>
</file>

<file path=xl/ctrlProps/ctrlProp61.xml><?xml version="1.0" encoding="utf-8"?>
<formControlPr xmlns="http://schemas.microsoft.com/office/spreadsheetml/2009/9/main" objectType="CheckBox" fmlaLink="$AE$67" lockText="1"/>
</file>

<file path=xl/ctrlProps/ctrlProp62.xml><?xml version="1.0" encoding="utf-8"?>
<formControlPr xmlns="http://schemas.microsoft.com/office/spreadsheetml/2009/9/main" objectType="CheckBox" fmlaLink="$AE$68" lockText="1"/>
</file>

<file path=xl/ctrlProps/ctrlProp63.xml><?xml version="1.0" encoding="utf-8"?>
<formControlPr xmlns="http://schemas.microsoft.com/office/spreadsheetml/2009/9/main" objectType="CheckBox" fmlaLink="$AE$69" lockText="1"/>
</file>

<file path=xl/ctrlProps/ctrlProp64.xml><?xml version="1.0" encoding="utf-8"?>
<formControlPr xmlns="http://schemas.microsoft.com/office/spreadsheetml/2009/9/main" objectType="CheckBox" fmlaLink="$AE$70" lockText="1"/>
</file>

<file path=xl/ctrlProps/ctrlProp65.xml><?xml version="1.0" encoding="utf-8"?>
<formControlPr xmlns="http://schemas.microsoft.com/office/spreadsheetml/2009/9/main" objectType="CheckBox" fmlaLink="$AE$71" lockText="1"/>
</file>

<file path=xl/ctrlProps/ctrlProp66.xml><?xml version="1.0" encoding="utf-8"?>
<formControlPr xmlns="http://schemas.microsoft.com/office/spreadsheetml/2009/9/main" objectType="CheckBox" fmlaLink="$AE$72" lockText="1"/>
</file>

<file path=xl/ctrlProps/ctrlProp67.xml><?xml version="1.0" encoding="utf-8"?>
<formControlPr xmlns="http://schemas.microsoft.com/office/spreadsheetml/2009/9/main" objectType="CheckBox" fmlaLink="$AE$73" lockText="1"/>
</file>

<file path=xl/ctrlProps/ctrlProp68.xml><?xml version="1.0" encoding="utf-8"?>
<formControlPr xmlns="http://schemas.microsoft.com/office/spreadsheetml/2009/9/main" objectType="CheckBox" fmlaLink="$AE$74" lockText="1"/>
</file>

<file path=xl/ctrlProps/ctrlProp69.xml><?xml version="1.0" encoding="utf-8"?>
<formControlPr xmlns="http://schemas.microsoft.com/office/spreadsheetml/2009/9/main" objectType="CheckBox" fmlaLink="$AE$75" lockText="1"/>
</file>

<file path=xl/ctrlProps/ctrlProp70.xml><?xml version="1.0" encoding="utf-8"?>
<formControlPr xmlns="http://schemas.microsoft.com/office/spreadsheetml/2009/9/main" objectType="CheckBox" fmlaLink="$AE$76" lockText="1"/>
</file>

<file path=xl/ctrlProps/ctrlProp71.xml><?xml version="1.0" encoding="utf-8"?>
<formControlPr xmlns="http://schemas.microsoft.com/office/spreadsheetml/2009/9/main" objectType="CheckBox" fmlaLink="$AE$77" lockText="1"/>
</file>

<file path=xl/ctrlProps/ctrlProp72.xml><?xml version="1.0" encoding="utf-8"?>
<formControlPr xmlns="http://schemas.microsoft.com/office/spreadsheetml/2009/9/main" objectType="CheckBox" fmlaLink="$AE$78" lockText="1"/>
</file>

<file path=xl/ctrlProps/ctrlProp73.xml><?xml version="1.0" encoding="utf-8"?>
<formControlPr xmlns="http://schemas.microsoft.com/office/spreadsheetml/2009/9/main" objectType="CheckBox" fmlaLink="$AE$79" lockText="1"/>
</file>

<file path=xl/ctrlProps/ctrlProp74.xml><?xml version="1.0" encoding="utf-8"?>
<formControlPr xmlns="http://schemas.microsoft.com/office/spreadsheetml/2009/9/main" objectType="CheckBox" fmlaLink="$AE$80" lockText="1"/>
</file>

<file path=xl/ctrlProps/ctrlProp75.xml><?xml version="1.0" encoding="utf-8"?>
<formControlPr xmlns="http://schemas.microsoft.com/office/spreadsheetml/2009/9/main" objectType="CheckBox" fmlaLink="$AE$81" lockText="1"/>
</file>

<file path=xl/ctrlProps/ctrlProp76.xml><?xml version="1.0" encoding="utf-8"?>
<formControlPr xmlns="http://schemas.microsoft.com/office/spreadsheetml/2009/9/main" objectType="CheckBox" fmlaLink="$AE$82" lockText="1"/>
</file>

<file path=xl/ctrlProps/ctrlProp77.xml><?xml version="1.0" encoding="utf-8"?>
<formControlPr xmlns="http://schemas.microsoft.com/office/spreadsheetml/2009/9/main" objectType="CheckBox" fmlaLink="$AE$83" lockText="1"/>
</file>

<file path=xl/ctrlProps/ctrlProp78.xml><?xml version="1.0" encoding="utf-8"?>
<formControlPr xmlns="http://schemas.microsoft.com/office/spreadsheetml/2009/9/main" objectType="CheckBox" fmlaLink="$AE$84" lockText="1"/>
</file>

<file path=xl/ctrlProps/ctrlProp79.xml><?xml version="1.0" encoding="utf-8"?>
<formControlPr xmlns="http://schemas.microsoft.com/office/spreadsheetml/2009/9/main" objectType="CheckBox" fmlaLink="$AE$85" lockText="1"/>
</file>

<file path=xl/ctrlProps/ctrlProp80.xml><?xml version="1.0" encoding="utf-8"?>
<formControlPr xmlns="http://schemas.microsoft.com/office/spreadsheetml/2009/9/main" objectType="CheckBox" fmlaLink="$AE$86" lockText="1"/>
</file>

<file path=xl/ctrlProps/ctrlProp81.xml><?xml version="1.0" encoding="utf-8"?>
<formControlPr xmlns="http://schemas.microsoft.com/office/spreadsheetml/2009/9/main" objectType="CheckBox" fmlaLink="$AE$87" lockText="1"/>
</file>

<file path=xl/ctrlProps/ctrlProp82.xml><?xml version="1.0" encoding="utf-8"?>
<formControlPr xmlns="http://schemas.microsoft.com/office/spreadsheetml/2009/9/main" objectType="CheckBox" fmlaLink="$AE$88" lockText="1"/>
</file>

<file path=xl/ctrlProps/ctrlProp83.xml><?xml version="1.0" encoding="utf-8"?>
<formControlPr xmlns="http://schemas.microsoft.com/office/spreadsheetml/2009/9/main" objectType="CheckBox" fmlaLink="$AE$89" lockText="1"/>
</file>

<file path=xl/ctrlProps/ctrlProp84.xml><?xml version="1.0" encoding="utf-8"?>
<formControlPr xmlns="http://schemas.microsoft.com/office/spreadsheetml/2009/9/main" objectType="CheckBox" fmlaLink="$AE$90" lockText="1"/>
</file>

<file path=xl/ctrlProps/ctrlProp85.xml><?xml version="1.0" encoding="utf-8"?>
<formControlPr xmlns="http://schemas.microsoft.com/office/spreadsheetml/2009/9/main" objectType="CheckBox" fmlaLink="$AE$91" lockText="1"/>
</file>

<file path=xl/ctrlProps/ctrlProp86.xml><?xml version="1.0" encoding="utf-8"?>
<formControlPr xmlns="http://schemas.microsoft.com/office/spreadsheetml/2009/9/main" objectType="CheckBox" fmlaLink="$AE$92" lockText="1"/>
</file>

<file path=xl/ctrlProps/ctrlProp87.xml><?xml version="1.0" encoding="utf-8"?>
<formControlPr xmlns="http://schemas.microsoft.com/office/spreadsheetml/2009/9/main" objectType="CheckBox" fmlaLink="$AE$93" lockText="1"/>
</file>

<file path=xl/ctrlProps/ctrlProp88.xml><?xml version="1.0" encoding="utf-8"?>
<formControlPr xmlns="http://schemas.microsoft.com/office/spreadsheetml/2009/9/main" objectType="CheckBox" fmlaLink="$AE$94" lockText="1"/>
</file>

<file path=xl/ctrlProps/ctrlProp89.xml><?xml version="1.0" encoding="utf-8"?>
<formControlPr xmlns="http://schemas.microsoft.com/office/spreadsheetml/2009/9/main" objectType="CheckBox" fmlaLink="$AE$95" lockText="1"/>
</file>

<file path=xl/ctrlProps/ctrlProp90.xml><?xml version="1.0" encoding="utf-8"?>
<formControlPr xmlns="http://schemas.microsoft.com/office/spreadsheetml/2009/9/main" objectType="CheckBox" fmlaLink="$AE$96" lockText="1"/>
</file>

<file path=xl/ctrlProps/ctrlProp91.xml><?xml version="1.0" encoding="utf-8"?>
<formControlPr xmlns="http://schemas.microsoft.com/office/spreadsheetml/2009/9/main" objectType="CheckBox" fmlaLink="$AE$97" lockText="1"/>
</file>

<file path=xl/ctrlProps/ctrlProp92.xml><?xml version="1.0" encoding="utf-8"?>
<formControlPr xmlns="http://schemas.microsoft.com/office/spreadsheetml/2009/9/main" objectType="CheckBox" fmlaLink="$AE$98" lockText="1"/>
</file>

<file path=xl/ctrlProps/ctrlProp93.xml><?xml version="1.0" encoding="utf-8"?>
<formControlPr xmlns="http://schemas.microsoft.com/office/spreadsheetml/2009/9/main" objectType="CheckBox" fmlaLink="$AE$99" lockText="1"/>
</file>

<file path=xl/ctrlProps/ctrlProp94.xml><?xml version="1.0" encoding="utf-8"?>
<formControlPr xmlns="http://schemas.microsoft.com/office/spreadsheetml/2009/9/main" objectType="CheckBox" fmlaLink="$AE$100" lockText="1"/>
</file>

<file path=xl/ctrlProps/ctrlProp95.xml><?xml version="1.0" encoding="utf-8"?>
<formControlPr xmlns="http://schemas.microsoft.com/office/spreadsheetml/2009/9/main" objectType="CheckBox" fmlaLink="$AE$101" lockText="1"/>
</file>

<file path=xl/ctrlProps/ctrlProp96.xml><?xml version="1.0" encoding="utf-8"?>
<formControlPr xmlns="http://schemas.microsoft.com/office/spreadsheetml/2009/9/main" objectType="CheckBox" fmlaLink="$AE$102" lockText="1"/>
</file>

<file path=xl/ctrlProps/ctrlProp97.xml><?xml version="1.0" encoding="utf-8"?>
<formControlPr xmlns="http://schemas.microsoft.com/office/spreadsheetml/2009/9/main" objectType="CheckBox" fmlaLink="$AE$103" lockText="1"/>
</file>

<file path=xl/ctrlProps/ctrlProp98.xml><?xml version="1.0" encoding="utf-8"?>
<formControlPr xmlns="http://schemas.microsoft.com/office/spreadsheetml/2009/9/main" objectType="CheckBox" fmlaLink="$AE$104" lockText="1"/>
</file>

<file path=xl/ctrlProps/ctrlProp99.xml><?xml version="1.0" encoding="utf-8"?>
<formControlPr xmlns="http://schemas.microsoft.com/office/spreadsheetml/2009/9/main" objectType="CheckBox" fmlaLink="$AE$105" lockText="1"/>
</file>

<file path=xl/ctrlProps/ctrlProp100.xml><?xml version="1.0" encoding="utf-8"?>
<formControlPr xmlns="http://schemas.microsoft.com/office/spreadsheetml/2009/9/main" objectType="CheckBox" fmlaLink="$AE$106" lockText="1"/>
</file>

<file path=xl/ctrlProps/ctrlProp101.xml><?xml version="1.0" encoding="utf-8"?>
<formControlPr xmlns="http://schemas.microsoft.com/office/spreadsheetml/2009/9/main" objectType="CheckBox" fmlaLink="$AE$107" lockText="1"/>
</file>

<file path=xl/ctrlProps/ctrlProp102.xml><?xml version="1.0" encoding="utf-8"?>
<formControlPr xmlns="http://schemas.microsoft.com/office/spreadsheetml/2009/9/main" objectType="CheckBox" fmlaLink="$AE$108" lockText="1"/>
</file>

<file path=xl/ctrlProps/ctrlProp103.xml><?xml version="1.0" encoding="utf-8"?>
<formControlPr xmlns="http://schemas.microsoft.com/office/spreadsheetml/2009/9/main" objectType="CheckBox" fmlaLink="$AE$109" lockText="1"/>
</file>

<file path=xl/ctrlProps/ctrlProp104.xml><?xml version="1.0" encoding="utf-8"?>
<formControlPr xmlns="http://schemas.microsoft.com/office/spreadsheetml/2009/9/main" objectType="CheckBox" fmlaLink="$AE$110" lockText="1"/>
</file>

<file path=xl/ctrlProps/ctrlProp105.xml><?xml version="1.0" encoding="utf-8"?>
<formControlPr xmlns="http://schemas.microsoft.com/office/spreadsheetml/2009/9/main" objectType="CheckBox" fmlaLink="$AE$111" lockText="1"/>
</file>

<file path=xl/ctrlProps/ctrlProp106.xml><?xml version="1.0" encoding="utf-8"?>
<formControlPr xmlns="http://schemas.microsoft.com/office/spreadsheetml/2009/9/main" objectType="CheckBox" fmlaLink="$AE$112" lockText="1"/>
</file>

<file path=xl/ctrlProps/ctrlProp107.xml><?xml version="1.0" encoding="utf-8"?>
<formControlPr xmlns="http://schemas.microsoft.com/office/spreadsheetml/2009/9/main" objectType="CheckBox" fmlaLink="$AE$113" lockText="1"/>
</file>

<file path=xl/ctrlProps/ctrlProp108.xml><?xml version="1.0" encoding="utf-8"?>
<formControlPr xmlns="http://schemas.microsoft.com/office/spreadsheetml/2009/9/main" objectType="CheckBox" fmlaLink="$AE$114" lockText="1"/>
</file>

<file path=xl/ctrlProps/ctrlProp109.xml><?xml version="1.0" encoding="utf-8"?>
<formControlPr xmlns="http://schemas.microsoft.com/office/spreadsheetml/2009/9/main" objectType="CheckBox" fmlaLink="$AE$115" lockText="1"/>
</file>

<file path=xl/ctrlProps/ctrlProp110.xml><?xml version="1.0" encoding="utf-8"?>
<formControlPr xmlns="http://schemas.microsoft.com/office/spreadsheetml/2009/9/main" objectType="CheckBox" fmlaLink="$AE$116" lockText="1"/>
</file>

<file path=xl/ctrlProps/ctrlProp111.xml><?xml version="1.0" encoding="utf-8"?>
<formControlPr xmlns="http://schemas.microsoft.com/office/spreadsheetml/2009/9/main" objectType="CheckBox" fmlaLink="$AE$117" lockText="1"/>
</file>

<file path=xl/ctrlProps/ctrlProp112.xml><?xml version="1.0" encoding="utf-8"?>
<formControlPr xmlns="http://schemas.microsoft.com/office/spreadsheetml/2009/9/main" objectType="CheckBox" fmlaLink="$AE$118" lockText="1"/>
</file>

<file path=xl/ctrlProps/ctrlProp113.xml><?xml version="1.0" encoding="utf-8"?>
<formControlPr xmlns="http://schemas.microsoft.com/office/spreadsheetml/2009/9/main" objectType="CheckBox" fmlaLink="$AE$119" lockText="1"/>
</file>

<file path=xl/ctrlProps/ctrlProp114.xml><?xml version="1.0" encoding="utf-8"?>
<formControlPr xmlns="http://schemas.microsoft.com/office/spreadsheetml/2009/9/main" objectType="CheckBox" fmlaLink="$AE$120" lockText="1"/>
</file>

<file path=xl/ctrlProps/ctrlProp115.xml><?xml version="1.0" encoding="utf-8"?>
<formControlPr xmlns="http://schemas.microsoft.com/office/spreadsheetml/2009/9/main" objectType="CheckBox" fmlaLink="$AE$121" lockText="1"/>
</file>

<file path=xl/ctrlProps/ctrlProp116.xml><?xml version="1.0" encoding="utf-8"?>
<formControlPr xmlns="http://schemas.microsoft.com/office/spreadsheetml/2009/9/main" objectType="CheckBox" fmlaLink="$AE$122" lockText="1"/>
</file>

<file path=xl/ctrlProps/ctrlProp117.xml><?xml version="1.0" encoding="utf-8"?>
<formControlPr xmlns="http://schemas.microsoft.com/office/spreadsheetml/2009/9/main" objectType="CheckBox" fmlaLink="$AE$123" lockText="1"/>
</file>

<file path=xl/ctrlProps/ctrlProp118.xml><?xml version="1.0" encoding="utf-8"?>
<formControlPr xmlns="http://schemas.microsoft.com/office/spreadsheetml/2009/9/main" objectType="CheckBox" fmlaLink="$AE$124" lockText="1"/>
</file>

<file path=xl/ctrlProps/ctrlProp119.xml><?xml version="1.0" encoding="utf-8"?>
<formControlPr xmlns="http://schemas.microsoft.com/office/spreadsheetml/2009/9/main" objectType="CheckBox" fmlaLink="$AE$125" lockText="1"/>
</file>

<file path=xl/ctrlProps/ctrlProp120.xml><?xml version="1.0" encoding="utf-8"?>
<formControlPr xmlns="http://schemas.microsoft.com/office/spreadsheetml/2009/9/main" objectType="CheckBox" fmlaLink="$AE$126" lockText="1"/>
</file>

<file path=xl/ctrlProps/ctrlProp121.xml><?xml version="1.0" encoding="utf-8"?>
<formControlPr xmlns="http://schemas.microsoft.com/office/spreadsheetml/2009/9/main" objectType="CheckBox" fmlaLink="$AE$127" lockText="1"/>
</file>

<file path=xl/ctrlProps/ctrlProp122.xml><?xml version="1.0" encoding="utf-8"?>
<formControlPr xmlns="http://schemas.microsoft.com/office/spreadsheetml/2009/9/main" objectType="CheckBox" fmlaLink="$AE$128" lockText="1"/>
</file>

<file path=xl/ctrlProps/ctrlProp123.xml><?xml version="1.0" encoding="utf-8"?>
<formControlPr xmlns="http://schemas.microsoft.com/office/spreadsheetml/2009/9/main" objectType="Radio" firstButton="1" fmlaLink="$R$5" lockText="1"/>
</file>

<file path=xl/ctrlProps/ctrlProp124.xml><?xml version="1.0" encoding="utf-8"?>
<formControlPr xmlns="http://schemas.microsoft.com/office/spreadsheetml/2009/9/main" objectType="Radio" checked="Checked" lockText="1"/>
</file>

<file path=xl/ctrlProps/ctrlProp125.xml><?xml version="1.0" encoding="utf-8"?>
<formControlPr xmlns="http://schemas.microsoft.com/office/spreadsheetml/2009/9/main" objectType="GBox"/>
</file>

<file path=xl/ctrlProps/ctrlProp126.xml><?xml version="1.0" encoding="utf-8"?>
<formControlPr xmlns="http://schemas.microsoft.com/office/spreadsheetml/2009/9/main" objectType="GBox"/>
</file>

<file path=xl/ctrlProps/ctrlProp127.xml><?xml version="1.0" encoding="utf-8"?>
<formControlPr xmlns="http://schemas.microsoft.com/office/spreadsheetml/2009/9/main" objectType="Radio" checked="Checked" firstButton="1" fmlaLink="$R$3" lockText="1"/>
</file>

<file path=xl/ctrlProps/ctrlProp128.xml><?xml version="1.0" encoding="utf-8"?>
<formControlPr xmlns="http://schemas.microsoft.com/office/spreadsheetml/2009/9/main" objectType="Radio" lockText="1"/>
</file>

<file path=xl/ctrlProps/ctrlProp129.xml><?xml version="1.0" encoding="utf-8"?>
<formControlPr xmlns="http://schemas.microsoft.com/office/spreadsheetml/2009/9/main" objectType="Radio" lockText="1"/>
</file>

<file path=xl/ctrlProps/ctrlProp130.xml><?xml version="1.0" encoding="utf-8"?>
<formControlPr xmlns="http://schemas.microsoft.com/office/spreadsheetml/2009/9/main" objectType="Drop" dropLines="20" dropStyle="combo" dx="22" fmlaLink="$N$1" fmlaRange="'BD da OP'!$B$2:$B$3" sel="1" val="0"/>
</file>

<file path=xl/drawings/_rels/drawing1.xml.rels><?xml version="1.0" encoding="UTF-8" standalone="yes"?>
<Relationships xmlns="http://schemas.openxmlformats.org/package/2006/relationships"><Relationship Id="rId2" Type="http://schemas.openxmlformats.org/officeDocument/2006/relationships/hyperlink" Target="http://www.planilhasparaconfeccao.com.br/" TargetMode="External"/><Relationship Id="rId1" Type="http://schemas.openxmlformats.org/officeDocument/2006/relationships/hyperlink" Target="mailto:contato@planilhasparaconfeccao.com.br"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absolute">
    <xdr:from>
      <xdr:col>7</xdr:col>
      <xdr:colOff>590550</xdr:colOff>
      <xdr:row>4</xdr:row>
      <xdr:rowOff>85725</xdr:rowOff>
    </xdr:from>
    <xdr:to>
      <xdr:col>9</xdr:col>
      <xdr:colOff>676275</xdr:colOff>
      <xdr:row>18</xdr:row>
      <xdr:rowOff>66675</xdr:rowOff>
    </xdr:to>
    <xdr:sp macro="" textlink="">
      <xdr:nvSpPr>
        <xdr:cNvPr id="22" name="Retângulo de cantos arredondados 21">
          <a:extLst>
            <a:ext uri="{FF2B5EF4-FFF2-40B4-BE49-F238E27FC236}">
              <a16:creationId xmlns:a16="http://schemas.microsoft.com/office/drawing/2014/main" id="{00000000-0008-0000-0000-000016000000}"/>
            </a:ext>
          </a:extLst>
        </xdr:cNvPr>
        <xdr:cNvSpPr/>
      </xdr:nvSpPr>
      <xdr:spPr bwMode="auto">
        <a:xfrm>
          <a:off x="4819650" y="1152525"/>
          <a:ext cx="1409700" cy="2333625"/>
        </a:xfrm>
        <a:prstGeom prst="roundRect">
          <a:avLst/>
        </a:prstGeom>
        <a:solidFill>
          <a:schemeClr val="accent2">
            <a:lumMod val="40000"/>
            <a:lumOff val="60000"/>
          </a:schemeClr>
        </a:solidFill>
        <a:ln w="9525" cap="flat" cmpd="sng" algn="ctr">
          <a:solidFill>
            <a:schemeClr val="accent2">
              <a:lumMod val="40000"/>
              <a:lumOff val="6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t" upright="1"/>
        <a:lstStyle/>
        <a:p>
          <a:pPr algn="ctr"/>
          <a:r>
            <a:rPr lang="pt-BR" sz="1400" b="1">
              <a:solidFill>
                <a:schemeClr val="accent2">
                  <a:lumMod val="75000"/>
                </a:schemeClr>
              </a:solidFill>
            </a:rPr>
            <a:t>Cadastrar</a:t>
          </a:r>
        </a:p>
      </xdr:txBody>
    </xdr:sp>
    <xdr:clientData fPrintsWithSheet="0"/>
  </xdr:twoCellAnchor>
  <xdr:twoCellAnchor>
    <xdr:from>
      <xdr:col>12</xdr:col>
      <xdr:colOff>66675</xdr:colOff>
      <xdr:row>1</xdr:row>
      <xdr:rowOff>142875</xdr:rowOff>
    </xdr:from>
    <xdr:to>
      <xdr:col>17</xdr:col>
      <xdr:colOff>571499</xdr:colOff>
      <xdr:row>15</xdr:row>
      <xdr:rowOff>66676</xdr:rowOff>
    </xdr:to>
    <xdr:sp macro="" textlink="">
      <xdr:nvSpPr>
        <xdr:cNvPr id="33" name="Retângulo de cantos arredondados 32">
          <a:extLst>
            <a:ext uri="{FF2B5EF4-FFF2-40B4-BE49-F238E27FC236}">
              <a16:creationId xmlns:a16="http://schemas.microsoft.com/office/drawing/2014/main" id="{00000000-0008-0000-0000-000021000000}"/>
            </a:ext>
          </a:extLst>
        </xdr:cNvPr>
        <xdr:cNvSpPr/>
      </xdr:nvSpPr>
      <xdr:spPr bwMode="auto">
        <a:xfrm>
          <a:off x="7096125" y="304800"/>
          <a:ext cx="3552824" cy="2695576"/>
        </a:xfrm>
        <a:prstGeom prst="roundRect">
          <a:avLst/>
        </a:prstGeom>
        <a:solidFill>
          <a:schemeClr val="accent2">
            <a:lumMod val="20000"/>
            <a:lumOff val="80000"/>
          </a:schemeClr>
        </a:solidFill>
        <a:ln>
          <a:solidFill>
            <a:schemeClr val="accent2">
              <a:lumMod val="60000"/>
              <a:lumOff val="40000"/>
            </a:schemeClr>
          </a:solidFill>
          <a:headEnd type="none" w="med" len="med"/>
          <a:tailEnd type="none" w="med" len="med"/>
        </a:ln>
        <a:extLst>
          <a:ext uri="{AF507438-7753-43E0-B8FC-AC1667EBCBE1}">
            <a14:hiddenEffects xmlns:a14="http://schemas.microsoft.com/office/drawing/2010/main">
              <a:effectLst>
                <a:outerShdw dist="35921" dir="2700000" algn="ctr" rotWithShape="0">
                  <a:srgbClr val="808080"/>
                </a:outerShdw>
              </a:effectLst>
            </a14:hiddenEffects>
          </a:ext>
        </a:extLst>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t" upright="1"/>
        <a:lstStyle/>
        <a:p>
          <a:pPr algn="ctr"/>
          <a:r>
            <a:rPr lang="pt-BR" sz="1100" b="1"/>
            <a:t>LER ANTES</a:t>
          </a:r>
          <a:r>
            <a:rPr lang="pt-BR" sz="1100" b="1" baseline="0"/>
            <a:t> DE USAR</a:t>
          </a:r>
        </a:p>
        <a:p>
          <a:pPr algn="ctr"/>
          <a:endParaRPr lang="pt-BR" sz="600" b="1" baseline="0"/>
        </a:p>
        <a:p>
          <a:pPr fontAlgn="base"/>
          <a:r>
            <a:rPr lang="pt-BR" sz="1100" b="1" baseline="0">
              <a:solidFill>
                <a:schemeClr val="dk1"/>
              </a:solidFill>
              <a:latin typeface="+mn-lt"/>
              <a:ea typeface="+mn-ea"/>
              <a:cs typeface="+mn-cs"/>
            </a:rPr>
            <a:t>Necessário:  </a:t>
          </a:r>
          <a:r>
            <a:rPr lang="pt-BR" sz="1100" b="0" i="0">
              <a:solidFill>
                <a:schemeClr val="dk1"/>
              </a:solidFill>
              <a:latin typeface="+mn-lt"/>
              <a:ea typeface="+mn-ea"/>
              <a:cs typeface="+mn-cs"/>
            </a:rPr>
            <a:t>Microsoft Office Excel 2007 ou superior instalado em sua máquina. É necessário ativar as Macros.</a:t>
          </a:r>
          <a:endParaRPr lang="pt-BR" sz="1100" b="0" baseline="0">
            <a:solidFill>
              <a:schemeClr val="dk1"/>
            </a:solidFill>
            <a:latin typeface="+mn-lt"/>
            <a:ea typeface="+mn-ea"/>
            <a:cs typeface="+mn-cs"/>
          </a:endParaRPr>
        </a:p>
        <a:p>
          <a:pPr algn="l"/>
          <a:r>
            <a:rPr lang="pt-BR" sz="1100" b="1">
              <a:solidFill>
                <a:schemeClr val="dk1"/>
              </a:solidFill>
              <a:latin typeface="+mn-lt"/>
              <a:ea typeface="+mn-ea"/>
              <a:cs typeface="+mn-cs"/>
            </a:rPr>
            <a:t>Nenhuma</a:t>
          </a:r>
          <a:r>
            <a:rPr lang="pt-BR" sz="1100" b="1" baseline="0">
              <a:solidFill>
                <a:schemeClr val="dk1"/>
              </a:solidFill>
              <a:latin typeface="+mn-lt"/>
              <a:ea typeface="+mn-ea"/>
              <a:cs typeface="+mn-cs"/>
            </a:rPr>
            <a:t> guia pode ser excluida ou alterada</a:t>
          </a:r>
          <a:r>
            <a:rPr lang="pt-BR" sz="1100" baseline="0">
              <a:solidFill>
                <a:schemeClr val="dk1"/>
              </a:solidFill>
              <a:latin typeface="+mn-lt"/>
              <a:ea typeface="+mn-ea"/>
              <a:cs typeface="+mn-cs"/>
            </a:rPr>
            <a:t>, e aquelas que tem o uso do "Filtro" só poderá "limpar", jamais "retirar" o filtro, caso contrário as macros e até mesmo algumas fórmulas deixarão de funcionar. Para não confundir "limpar" com "retirar", use o Botão branco "</a:t>
          </a:r>
          <a:r>
            <a:rPr lang="pt-BR" sz="1100" baseline="0">
              <a:solidFill>
                <a:srgbClr val="FF0000"/>
              </a:solidFill>
              <a:latin typeface="+mn-lt"/>
              <a:ea typeface="+mn-ea"/>
              <a:cs typeface="+mn-cs"/>
            </a:rPr>
            <a:t>Limpar Filtro</a:t>
          </a:r>
          <a:r>
            <a:rPr lang="pt-BR" sz="1100" baseline="0">
              <a:solidFill>
                <a:schemeClr val="dk1"/>
              </a:solidFill>
              <a:latin typeface="+mn-lt"/>
              <a:ea typeface="+mn-ea"/>
              <a:cs typeface="+mn-cs"/>
            </a:rPr>
            <a:t>" que é colocado nas guias em que o filtro pode ser usado normalmente.</a:t>
          </a:r>
        </a:p>
      </xdr:txBody>
    </xdr:sp>
    <xdr:clientData/>
  </xdr:twoCellAnchor>
  <xdr:twoCellAnchor editAs="oneCell">
    <xdr:from>
      <xdr:col>2</xdr:col>
      <xdr:colOff>9525</xdr:colOff>
      <xdr:row>20</xdr:row>
      <xdr:rowOff>19050</xdr:rowOff>
    </xdr:from>
    <xdr:to>
      <xdr:col>6</xdr:col>
      <xdr:colOff>704850</xdr:colOff>
      <xdr:row>22</xdr:row>
      <xdr:rowOff>0</xdr:rowOff>
    </xdr:to>
    <xdr:sp macro="" textlink="">
      <xdr:nvSpPr>
        <xdr:cNvPr id="5" name="Retângulo 4">
          <a:extLst>
            <a:ext uri="{FF2B5EF4-FFF2-40B4-BE49-F238E27FC236}">
              <a16:creationId xmlns:a16="http://schemas.microsoft.com/office/drawing/2014/main" id="{00000000-0008-0000-0000-000005000000}"/>
            </a:ext>
          </a:extLst>
        </xdr:cNvPr>
        <xdr:cNvSpPr/>
      </xdr:nvSpPr>
      <xdr:spPr bwMode="auto">
        <a:xfrm>
          <a:off x="771525" y="3876675"/>
          <a:ext cx="3448050" cy="323850"/>
        </a:xfrm>
        <a:prstGeom prst="rect">
          <a:avLst/>
        </a:prstGeom>
        <a:noFill/>
        <a:ln>
          <a:noFill/>
          <a:headEnd type="none" w="med" len="med"/>
          <a:tailEnd type="none" w="med" len="med"/>
        </a:ln>
        <a:extLst>
          <a:ext uri="{AF507438-7753-43E0-B8FC-AC1667EBCBE1}">
            <a14:hiddenEffects xmlns:a14="http://schemas.microsoft.com/office/drawing/2010/main">
              <a:effectLst>
                <a:outerShdw dist="35921" dir="2700000" algn="ctr" rotWithShape="0">
                  <a:srgbClr val="808080"/>
                </a:outerShdw>
              </a:effectLst>
            </a14:hiddenEffects>
          </a:ext>
        </a:extLst>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l"/>
          <a:r>
            <a:rPr lang="pt-BR" sz="900">
              <a:latin typeface="+mn-lt"/>
            </a:rPr>
            <a:t>Para uso exclusivo da empresa </a:t>
          </a:r>
          <a:r>
            <a:rPr lang="pt-BR" sz="900" baseline="0">
              <a:latin typeface="+mn-lt"/>
            </a:rPr>
            <a:t> ou </a:t>
          </a:r>
          <a:r>
            <a:rPr lang="pt-BR" sz="900">
              <a:latin typeface="+mn-lt"/>
            </a:rPr>
            <a:t>pessoa física acima. Proibido</a:t>
          </a:r>
          <a:r>
            <a:rPr lang="pt-BR" sz="900" baseline="0">
              <a:latin typeface="+mn-lt"/>
            </a:rPr>
            <a:t> vender, copiar, divulgar ou postar em sites sem prévia autorização. LEI Nº 9.610</a:t>
          </a:r>
          <a:endParaRPr lang="pt-BR" sz="900">
            <a:latin typeface="+mn-lt"/>
          </a:endParaRPr>
        </a:p>
      </xdr:txBody>
    </xdr:sp>
    <xdr:clientData/>
  </xdr:twoCellAnchor>
  <xdr:twoCellAnchor editAs="oneCell">
    <xdr:from>
      <xdr:col>7</xdr:col>
      <xdr:colOff>138643</xdr:colOff>
      <xdr:row>20</xdr:row>
      <xdr:rowOff>1060</xdr:rowOff>
    </xdr:from>
    <xdr:to>
      <xdr:col>10</xdr:col>
      <xdr:colOff>571500</xdr:colOff>
      <xdr:row>22</xdr:row>
      <xdr:rowOff>142875</xdr:rowOff>
    </xdr:to>
    <xdr:sp macro="" textlink="">
      <xdr:nvSpPr>
        <xdr:cNvPr id="19" name="Retângulo 18">
          <a:extLst>
            <a:ext uri="{FF2B5EF4-FFF2-40B4-BE49-F238E27FC236}">
              <a16:creationId xmlns:a16="http://schemas.microsoft.com/office/drawing/2014/main" id="{00000000-0008-0000-0000-000013000000}"/>
            </a:ext>
          </a:extLst>
        </xdr:cNvPr>
        <xdr:cNvSpPr/>
      </xdr:nvSpPr>
      <xdr:spPr bwMode="auto">
        <a:xfrm>
          <a:off x="4367743" y="3858685"/>
          <a:ext cx="2471207" cy="484715"/>
        </a:xfrm>
        <a:prstGeom prst="rect">
          <a:avLst/>
        </a:prstGeom>
        <a:noFill/>
        <a:ln>
          <a:noFill/>
          <a:headEnd type="none" w="med" len="med"/>
          <a:tailEnd type="none" w="med" len="med"/>
        </a:ln>
        <a:extLst>
          <a:ext uri="{AF507438-7753-43E0-B8FC-AC1667EBCBE1}">
            <a14:hiddenEffects xmlns:a14="http://schemas.microsoft.com/office/drawing/2010/main">
              <a:effectLst>
                <a:outerShdw dist="35921" dir="2700000" algn="ctr" rotWithShape="0">
                  <a:srgbClr val="808080"/>
                </a:outerShdw>
              </a:effectLst>
            </a14:hiddenEffects>
          </a:ext>
        </a:extLst>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t" upright="1"/>
        <a:lstStyle/>
        <a:p>
          <a:pPr algn="l"/>
          <a:r>
            <a:rPr lang="pt-BR" sz="1000" b="1">
              <a:solidFill>
                <a:schemeClr val="dk1"/>
              </a:solidFill>
              <a:latin typeface="+mn-lt"/>
              <a:ea typeface="+mn-ea"/>
              <a:cs typeface="+mn-cs"/>
            </a:rPr>
            <a:t>Suporte pós-venda:</a:t>
          </a:r>
          <a:endParaRPr lang="pt-BR" sz="1000" b="1">
            <a:latin typeface="Arial" pitchFamily="34" charset="0"/>
            <a:cs typeface="Arial" pitchFamily="34" charset="0"/>
          </a:endParaRPr>
        </a:p>
        <a:p>
          <a:pPr algn="l"/>
          <a:endParaRPr lang="pt-BR" sz="800" b="1">
            <a:latin typeface="Arial" pitchFamily="34" charset="0"/>
            <a:cs typeface="Arial"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pt-BR" sz="900" b="0">
              <a:solidFill>
                <a:schemeClr val="dk1"/>
              </a:solidFill>
              <a:latin typeface="+mn-lt"/>
              <a:ea typeface="+mn-ea"/>
              <a:cs typeface="+mn-cs"/>
            </a:rPr>
            <a:t>Skype</a:t>
          </a:r>
          <a:r>
            <a:rPr lang="pt-BR" sz="900" b="0" baseline="0">
              <a:solidFill>
                <a:schemeClr val="dk1"/>
              </a:solidFill>
              <a:latin typeface="+mn-lt"/>
              <a:ea typeface="+mn-ea"/>
              <a:cs typeface="+mn-cs"/>
            </a:rPr>
            <a:t> ou </a:t>
          </a:r>
          <a:r>
            <a:rPr lang="pt-BR" sz="900" b="0">
              <a:solidFill>
                <a:schemeClr val="dk1"/>
              </a:solidFill>
              <a:latin typeface="+mn-lt"/>
              <a:ea typeface="+mn-ea"/>
              <a:cs typeface="+mn-cs"/>
            </a:rPr>
            <a:t>Telefone, consulte no site em "Contato".</a:t>
          </a:r>
        </a:p>
        <a:p>
          <a:pPr algn="l"/>
          <a:endParaRPr lang="pt-BR" sz="800" b="1">
            <a:latin typeface="Arial" pitchFamily="34" charset="0"/>
            <a:cs typeface="Arial" pitchFamily="34" charset="0"/>
          </a:endParaRPr>
        </a:p>
      </xdr:txBody>
    </xdr:sp>
    <xdr:clientData/>
  </xdr:twoCellAnchor>
  <xdr:twoCellAnchor editAs="oneCell">
    <xdr:from>
      <xdr:col>7</xdr:col>
      <xdr:colOff>143939</xdr:colOff>
      <xdr:row>20</xdr:row>
      <xdr:rowOff>0</xdr:rowOff>
    </xdr:from>
    <xdr:to>
      <xdr:col>10</xdr:col>
      <xdr:colOff>474403</xdr:colOff>
      <xdr:row>21</xdr:row>
      <xdr:rowOff>104775</xdr:rowOff>
    </xdr:to>
    <xdr:sp macro="" textlink="">
      <xdr:nvSpPr>
        <xdr:cNvPr id="20" name="Retângulo 19">
          <a:hlinkClick xmlns:r="http://schemas.openxmlformats.org/officeDocument/2006/relationships" r:id="rId1"/>
          <a:extLst>
            <a:ext uri="{FF2B5EF4-FFF2-40B4-BE49-F238E27FC236}">
              <a16:creationId xmlns:a16="http://schemas.microsoft.com/office/drawing/2014/main" id="{00000000-0008-0000-0000-000014000000}"/>
            </a:ext>
          </a:extLst>
        </xdr:cNvPr>
        <xdr:cNvSpPr/>
      </xdr:nvSpPr>
      <xdr:spPr bwMode="auto">
        <a:xfrm>
          <a:off x="4373039" y="3857625"/>
          <a:ext cx="2368814" cy="276225"/>
        </a:xfrm>
        <a:prstGeom prst="rect">
          <a:avLst/>
        </a:prstGeom>
        <a:noFill/>
        <a:ln>
          <a:noFill/>
          <a:headEnd type="none" w="med" len="med"/>
          <a:tailEnd type="none" w="med" len="med"/>
        </a:ln>
        <a:extLst>
          <a:ext uri="{AF507438-7753-43E0-B8FC-AC1667EBCBE1}">
            <a14:hiddenEffects xmlns:a14="http://schemas.microsoft.com/office/drawing/2010/main">
              <a:effectLst>
                <a:outerShdw dist="35921" dir="2700000" algn="ctr" rotWithShape="0">
                  <a:srgbClr val="808080"/>
                </a:outerShdw>
              </a:effectLst>
            </a14:hiddenEffects>
          </a:ext>
        </a:extLst>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l"/>
          <a:endParaRPr lang="pt-BR" sz="1000" b="1">
            <a:latin typeface="Arial" pitchFamily="34" charset="0"/>
            <a:cs typeface="Arial" pitchFamily="34" charset="0"/>
          </a:endParaRPr>
        </a:p>
        <a:p>
          <a:pPr algn="l"/>
          <a:r>
            <a:rPr lang="pt-BR" sz="800" b="1">
              <a:latin typeface="Arial" pitchFamily="34" charset="0"/>
              <a:cs typeface="Arial" pitchFamily="34" charset="0"/>
            </a:rPr>
            <a:t>E-mail:</a:t>
          </a:r>
          <a:r>
            <a:rPr lang="pt-BR" sz="800">
              <a:latin typeface="Arial" pitchFamily="34" charset="0"/>
              <a:cs typeface="Arial" pitchFamily="34" charset="0"/>
            </a:rPr>
            <a:t> </a:t>
          </a:r>
          <a:r>
            <a:rPr lang="pt-BR" sz="800">
              <a:solidFill>
                <a:srgbClr val="0000FF"/>
              </a:solidFill>
              <a:latin typeface="Arial" pitchFamily="34" charset="0"/>
              <a:cs typeface="Arial" pitchFamily="34" charset="0"/>
            </a:rPr>
            <a:t>contato@planilhasparaconfeccao.com.br</a:t>
          </a:r>
        </a:p>
      </xdr:txBody>
    </xdr:sp>
    <xdr:clientData/>
  </xdr:twoCellAnchor>
  <xdr:twoCellAnchor>
    <xdr:from>
      <xdr:col>13</xdr:col>
      <xdr:colOff>104775</xdr:colOff>
      <xdr:row>12</xdr:row>
      <xdr:rowOff>142875</xdr:rowOff>
    </xdr:from>
    <xdr:to>
      <xdr:col>16</xdr:col>
      <xdr:colOff>533400</xdr:colOff>
      <xdr:row>13</xdr:row>
      <xdr:rowOff>219075</xdr:rowOff>
    </xdr:to>
    <xdr:sp macro="" textlink="">
      <xdr:nvSpPr>
        <xdr:cNvPr id="23" name="Retângulo 22">
          <a:hlinkClick xmlns:r="http://schemas.openxmlformats.org/officeDocument/2006/relationships" r:id="rId2"/>
          <a:extLst>
            <a:ext uri="{FF2B5EF4-FFF2-40B4-BE49-F238E27FC236}">
              <a16:creationId xmlns:a16="http://schemas.microsoft.com/office/drawing/2014/main" id="{00000000-0008-0000-0000-000017000000}"/>
            </a:ext>
          </a:extLst>
        </xdr:cNvPr>
        <xdr:cNvSpPr/>
      </xdr:nvSpPr>
      <xdr:spPr bwMode="auto">
        <a:xfrm>
          <a:off x="7743825" y="2505075"/>
          <a:ext cx="2257425" cy="238125"/>
        </a:xfrm>
        <a:prstGeom prst="rect">
          <a:avLst/>
        </a:prstGeom>
        <a:noFill/>
        <a:ln>
          <a:noFill/>
          <a:headEnd type="none" w="med" len="med"/>
          <a:tailEnd type="none" w="med" len="med"/>
        </a:ln>
        <a:extLst>
          <a:ext uri="{AF507438-7753-43E0-B8FC-AC1667EBCBE1}">
            <a14:hiddenEffects xmlns:a14="http://schemas.microsoft.com/office/drawing/2010/main">
              <a:effectLst>
                <a:outerShdw dist="35921" dir="2700000" algn="ctr" rotWithShape="0">
                  <a:srgbClr val="808080"/>
                </a:outerShdw>
              </a:effectLst>
            </a14:hiddenEffects>
          </a:ext>
        </a:extLst>
      </xdr:spPr>
      <xdr:style>
        <a:lnRef idx="2">
          <a:schemeClr val="accent1"/>
        </a:lnRef>
        <a:fillRef idx="1">
          <a:schemeClr val="lt1"/>
        </a:fillRef>
        <a:effectRef idx="0">
          <a:schemeClr val="accent1"/>
        </a:effectRef>
        <a:fontRef idx="minor">
          <a:schemeClr val="dk1"/>
        </a:fontRef>
      </xdr:style>
      <xdr:txBody>
        <a:bodyPr vertOverflow="clip" wrap="square" lIns="18288" tIns="0" rIns="0" bIns="0" rtlCol="0" anchor="ctr" upright="1"/>
        <a:lstStyle/>
        <a:p>
          <a:pPr algn="ctr"/>
          <a:r>
            <a:rPr lang="pt-BR" sz="1100" u="sng">
              <a:solidFill>
                <a:srgbClr val="0000FF"/>
              </a:solidFill>
            </a:rPr>
            <a:t>www.planilhasparaconfeccao.com.br</a:t>
          </a:r>
        </a:p>
      </xdr:txBody>
    </xdr:sp>
    <xdr:clientData/>
  </xdr:twoCellAnchor>
  <xdr:twoCellAnchor editAs="absolute">
    <xdr:from>
      <xdr:col>3</xdr:col>
      <xdr:colOff>93053</xdr:colOff>
      <xdr:row>6</xdr:row>
      <xdr:rowOff>133350</xdr:rowOff>
    </xdr:from>
    <xdr:to>
      <xdr:col>4</xdr:col>
      <xdr:colOff>458678</xdr:colOff>
      <xdr:row>9</xdr:row>
      <xdr:rowOff>7575</xdr:rowOff>
    </xdr:to>
    <xdr:sp macro="[0]!ir_para_Seq_Operacional" textlink="">
      <xdr:nvSpPr>
        <xdr:cNvPr id="26" name="Retângulo de cantos arredondados 25">
          <a:extLst>
            <a:ext uri="{FF2B5EF4-FFF2-40B4-BE49-F238E27FC236}">
              <a16:creationId xmlns:a16="http://schemas.microsoft.com/office/drawing/2014/main" id="{00000000-0008-0000-0000-00001A000000}"/>
            </a:ext>
          </a:extLst>
        </xdr:cNvPr>
        <xdr:cNvSpPr/>
      </xdr:nvSpPr>
      <xdr:spPr bwMode="auto">
        <a:xfrm>
          <a:off x="1569428" y="1524000"/>
          <a:ext cx="1080000" cy="360000"/>
        </a:xfrm>
        <a:prstGeom prst="roundRect">
          <a:avLst/>
        </a:prstGeom>
        <a:solidFill>
          <a:schemeClr val="accent2">
            <a:lumMod val="40000"/>
            <a:lumOff val="60000"/>
          </a:schemeClr>
        </a:solidFill>
        <a:ln>
          <a:solidFill>
            <a:schemeClr val="accent2">
              <a:lumMod val="40000"/>
              <a:lumOff val="60000"/>
            </a:schemeClr>
          </a:solidFill>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lnRef>
        <a:fillRef idx="3">
          <a:schemeClr val="accent1"/>
        </a:fillRef>
        <a:effectRef idx="3">
          <a:schemeClr val="accent1"/>
        </a:effectRef>
        <a:fontRef idx="minor">
          <a:schemeClr val="lt1"/>
        </a:fontRef>
      </xdr:style>
      <xdr:txBody>
        <a:bodyPr vertOverflow="clip" wrap="square" lIns="18288" tIns="0" rIns="0" bIns="0" rtlCol="0" anchor="ctr" upright="1"/>
        <a:lstStyle/>
        <a:p>
          <a:pPr algn="ctr"/>
          <a:r>
            <a:rPr lang="pt-BR" sz="1000" b="1">
              <a:solidFill>
                <a:schemeClr val="accent2">
                  <a:lumMod val="75000"/>
                </a:schemeClr>
              </a:solidFill>
              <a:latin typeface="Arial" pitchFamily="34" charset="0"/>
              <a:cs typeface="Arial" pitchFamily="34" charset="0"/>
            </a:rPr>
            <a:t>Sequência</a:t>
          </a:r>
          <a:r>
            <a:rPr lang="pt-BR" sz="1000" b="1" baseline="0">
              <a:solidFill>
                <a:schemeClr val="accent2">
                  <a:lumMod val="75000"/>
                </a:schemeClr>
              </a:solidFill>
              <a:latin typeface="Arial" pitchFamily="34" charset="0"/>
              <a:cs typeface="Arial" pitchFamily="34" charset="0"/>
            </a:rPr>
            <a:t> </a:t>
          </a:r>
          <a:r>
            <a:rPr lang="pt-BR" sz="1000" b="1">
              <a:solidFill>
                <a:schemeClr val="accent2">
                  <a:lumMod val="75000"/>
                </a:schemeClr>
              </a:solidFill>
              <a:latin typeface="Arial" pitchFamily="34" charset="0"/>
              <a:cs typeface="Arial" pitchFamily="34" charset="0"/>
            </a:rPr>
            <a:t>Operacional</a:t>
          </a:r>
        </a:p>
      </xdr:txBody>
    </xdr:sp>
    <xdr:clientData fPrintsWithSheet="0"/>
  </xdr:twoCellAnchor>
  <xdr:twoCellAnchor editAs="oneCell">
    <xdr:from>
      <xdr:col>3</xdr:col>
      <xdr:colOff>657226</xdr:colOff>
      <xdr:row>2</xdr:row>
      <xdr:rowOff>342900</xdr:rowOff>
    </xdr:from>
    <xdr:to>
      <xdr:col>7</xdr:col>
      <xdr:colOff>247650</xdr:colOff>
      <xdr:row>4</xdr:row>
      <xdr:rowOff>142875</xdr:rowOff>
    </xdr:to>
    <xdr:sp macro="" textlink="">
      <xdr:nvSpPr>
        <xdr:cNvPr id="27" name="Retângulo de cantos arredondados 26">
          <a:extLst>
            <a:ext uri="{FF2B5EF4-FFF2-40B4-BE49-F238E27FC236}">
              <a16:creationId xmlns:a16="http://schemas.microsoft.com/office/drawing/2014/main" id="{00000000-0008-0000-0000-00001B000000}"/>
            </a:ext>
          </a:extLst>
        </xdr:cNvPr>
        <xdr:cNvSpPr/>
      </xdr:nvSpPr>
      <xdr:spPr bwMode="auto">
        <a:xfrm>
          <a:off x="2133601" y="781050"/>
          <a:ext cx="2343149" cy="428625"/>
        </a:xfrm>
        <a:prstGeom prst="roundRect">
          <a:avLst/>
        </a:prstGeom>
        <a:solidFill>
          <a:schemeClr val="accent2">
            <a:lumMod val="40000"/>
            <a:lumOff val="60000"/>
          </a:schemeClr>
        </a:solidFill>
        <a:ln>
          <a:solidFill>
            <a:schemeClr val="accent2">
              <a:lumMod val="40000"/>
              <a:lumOff val="60000"/>
            </a:schemeClr>
          </a:solidFill>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lang="pt-BR" sz="1600" b="1">
              <a:solidFill>
                <a:schemeClr val="accent2">
                  <a:lumMod val="75000"/>
                </a:schemeClr>
              </a:solidFill>
              <a:latin typeface="Arial" pitchFamily="34" charset="0"/>
              <a:cs typeface="Arial" pitchFamily="34" charset="0"/>
            </a:rPr>
            <a:t>MENU PRINCIPAL</a:t>
          </a:r>
        </a:p>
      </xdr:txBody>
    </xdr:sp>
    <xdr:clientData fPrintsWithSheet="0"/>
  </xdr:twoCellAnchor>
  <xdr:twoCellAnchor editAs="absolute">
    <xdr:from>
      <xdr:col>8</xdr:col>
      <xdr:colOff>150284</xdr:colOff>
      <xdr:row>12</xdr:row>
      <xdr:rowOff>114300</xdr:rowOff>
    </xdr:from>
    <xdr:to>
      <xdr:col>9</xdr:col>
      <xdr:colOff>515909</xdr:colOff>
      <xdr:row>14</xdr:row>
      <xdr:rowOff>64725</xdr:rowOff>
    </xdr:to>
    <xdr:sp macro="[0]!ir_para_maquinas" textlink="">
      <xdr:nvSpPr>
        <xdr:cNvPr id="29" name="Retângulo de cantos arredondados 28">
          <a:extLst>
            <a:ext uri="{FF2B5EF4-FFF2-40B4-BE49-F238E27FC236}">
              <a16:creationId xmlns:a16="http://schemas.microsoft.com/office/drawing/2014/main" id="{00000000-0008-0000-0000-00001D000000}"/>
            </a:ext>
          </a:extLst>
        </xdr:cNvPr>
        <xdr:cNvSpPr/>
      </xdr:nvSpPr>
      <xdr:spPr bwMode="auto">
        <a:xfrm>
          <a:off x="4988984" y="2476500"/>
          <a:ext cx="1080000" cy="360000"/>
        </a:xfrm>
        <a:prstGeom prst="roundRect">
          <a:avLst/>
        </a:prstGeom>
        <a:solidFill>
          <a:schemeClr val="accent2">
            <a:lumMod val="40000"/>
            <a:lumOff val="60000"/>
          </a:schemeClr>
        </a:solidFill>
        <a:ln>
          <a:solidFill>
            <a:schemeClr val="accent2">
              <a:lumMod val="40000"/>
              <a:lumOff val="60000"/>
            </a:schemeClr>
          </a:solidFill>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lnRef>
        <a:fillRef idx="3">
          <a:schemeClr val="accent1"/>
        </a:fillRef>
        <a:effectRef idx="3">
          <a:schemeClr val="accent1"/>
        </a:effectRef>
        <a:fontRef idx="minor">
          <a:schemeClr val="lt1"/>
        </a:fontRef>
      </xdr:style>
      <xdr:txBody>
        <a:bodyPr vertOverflow="clip" wrap="square" lIns="18288" tIns="0" rIns="0" bIns="0" rtlCol="0" anchor="ctr" upright="1"/>
        <a:lstStyle/>
        <a:p>
          <a:pPr algn="ctr"/>
          <a:r>
            <a:rPr lang="pt-BR" sz="1000" b="1">
              <a:solidFill>
                <a:schemeClr val="accent2">
                  <a:lumMod val="75000"/>
                </a:schemeClr>
              </a:solidFill>
              <a:latin typeface="Arial" pitchFamily="34" charset="0"/>
              <a:cs typeface="Arial" pitchFamily="34" charset="0"/>
            </a:rPr>
            <a:t>Máquina</a:t>
          </a:r>
        </a:p>
      </xdr:txBody>
    </xdr:sp>
    <xdr:clientData fPrintsWithSheet="0"/>
  </xdr:twoCellAnchor>
  <xdr:twoCellAnchor editAs="absolute">
    <xdr:from>
      <xdr:col>8</xdr:col>
      <xdr:colOff>150639</xdr:colOff>
      <xdr:row>9</xdr:row>
      <xdr:rowOff>123825</xdr:rowOff>
    </xdr:from>
    <xdr:to>
      <xdr:col>9</xdr:col>
      <xdr:colOff>514500</xdr:colOff>
      <xdr:row>11</xdr:row>
      <xdr:rowOff>159975</xdr:rowOff>
    </xdr:to>
    <xdr:sp macro="[0]!ir_para_operações" textlink="">
      <xdr:nvSpPr>
        <xdr:cNvPr id="30" name="Retângulo de cantos arredondados 29">
          <a:extLst>
            <a:ext uri="{FF2B5EF4-FFF2-40B4-BE49-F238E27FC236}">
              <a16:creationId xmlns:a16="http://schemas.microsoft.com/office/drawing/2014/main" id="{00000000-0008-0000-0000-00001E000000}"/>
            </a:ext>
          </a:extLst>
        </xdr:cNvPr>
        <xdr:cNvSpPr/>
      </xdr:nvSpPr>
      <xdr:spPr bwMode="auto">
        <a:xfrm>
          <a:off x="4989339" y="2000250"/>
          <a:ext cx="1078236" cy="360000"/>
        </a:xfrm>
        <a:prstGeom prst="roundRect">
          <a:avLst/>
        </a:prstGeom>
        <a:solidFill>
          <a:schemeClr val="accent2">
            <a:lumMod val="40000"/>
            <a:lumOff val="60000"/>
          </a:schemeClr>
        </a:solidFill>
        <a:ln w="9525" cap="flat" cmpd="sng" algn="ctr">
          <a:solidFill>
            <a:schemeClr val="accent2">
              <a:lumMod val="40000"/>
              <a:lumOff val="6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chemeClr val="accent2">
                  <a:lumMod val="75000"/>
                </a:schemeClr>
              </a:solidFill>
              <a:latin typeface="Arial" pitchFamily="34" charset="0"/>
              <a:cs typeface="Arial" pitchFamily="34" charset="0"/>
            </a:rPr>
            <a:t>Operação</a:t>
          </a:r>
        </a:p>
      </xdr:txBody>
    </xdr:sp>
    <xdr:clientData fPrintsWithSheet="0"/>
  </xdr:twoCellAnchor>
  <xdr:twoCellAnchor editAs="absolute">
    <xdr:from>
      <xdr:col>5</xdr:col>
      <xdr:colOff>361950</xdr:colOff>
      <xdr:row>10</xdr:row>
      <xdr:rowOff>51777</xdr:rowOff>
    </xdr:from>
    <xdr:to>
      <xdr:col>7</xdr:col>
      <xdr:colOff>13200</xdr:colOff>
      <xdr:row>12</xdr:row>
      <xdr:rowOff>87927</xdr:rowOff>
    </xdr:to>
    <xdr:sp macro="[0]!ir_para_balanceamento" textlink="">
      <xdr:nvSpPr>
        <xdr:cNvPr id="32" name="Retângulo de cantos arredondados 31">
          <a:extLst>
            <a:ext uri="{FF2B5EF4-FFF2-40B4-BE49-F238E27FC236}">
              <a16:creationId xmlns:a16="http://schemas.microsoft.com/office/drawing/2014/main" id="{00000000-0008-0000-0000-000020000000}"/>
            </a:ext>
          </a:extLst>
        </xdr:cNvPr>
        <xdr:cNvSpPr/>
      </xdr:nvSpPr>
      <xdr:spPr bwMode="auto">
        <a:xfrm>
          <a:off x="3162300" y="2090127"/>
          <a:ext cx="1080000" cy="360000"/>
        </a:xfrm>
        <a:prstGeom prst="roundRect">
          <a:avLst/>
        </a:prstGeom>
        <a:solidFill>
          <a:schemeClr val="accent2">
            <a:lumMod val="60000"/>
            <a:lumOff val="40000"/>
          </a:schemeClr>
        </a:solidFill>
        <a:ln w="9525" cap="flat" cmpd="sng" algn="ctr">
          <a:solidFill>
            <a:schemeClr val="accent2">
              <a:lumMod val="60000"/>
              <a:lumOff val="4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chemeClr val="accent2">
                  <a:lumMod val="75000"/>
                </a:schemeClr>
              </a:solidFill>
              <a:latin typeface="Arial" pitchFamily="34" charset="0"/>
              <a:cs typeface="Arial" pitchFamily="34" charset="0"/>
            </a:rPr>
            <a:t>Ficha de</a:t>
          </a:r>
        </a:p>
        <a:p>
          <a:pPr algn="ctr"/>
          <a:r>
            <a:rPr lang="pt-BR" sz="1000" b="1">
              <a:solidFill>
                <a:schemeClr val="accent2">
                  <a:lumMod val="75000"/>
                </a:schemeClr>
              </a:solidFill>
              <a:latin typeface="Arial" pitchFamily="34" charset="0"/>
              <a:cs typeface="Arial" pitchFamily="34" charset="0"/>
            </a:rPr>
            <a:t>Balanceamento</a:t>
          </a:r>
        </a:p>
      </xdr:txBody>
    </xdr:sp>
    <xdr:clientData fPrintsWithSheet="0"/>
  </xdr:twoCellAnchor>
  <xdr:twoCellAnchor editAs="absolute">
    <xdr:from>
      <xdr:col>8</xdr:col>
      <xdr:colOff>152401</xdr:colOff>
      <xdr:row>6</xdr:row>
      <xdr:rowOff>133350</xdr:rowOff>
    </xdr:from>
    <xdr:to>
      <xdr:col>9</xdr:col>
      <xdr:colOff>518026</xdr:colOff>
      <xdr:row>9</xdr:row>
      <xdr:rowOff>7575</xdr:rowOff>
    </xdr:to>
    <xdr:sp macro="[0]!ir_para_referência" textlink="">
      <xdr:nvSpPr>
        <xdr:cNvPr id="16" name="Retângulo de cantos arredondados 15">
          <a:extLst>
            <a:ext uri="{FF2B5EF4-FFF2-40B4-BE49-F238E27FC236}">
              <a16:creationId xmlns:a16="http://schemas.microsoft.com/office/drawing/2014/main" id="{00000000-0008-0000-0000-000010000000}"/>
            </a:ext>
          </a:extLst>
        </xdr:cNvPr>
        <xdr:cNvSpPr/>
      </xdr:nvSpPr>
      <xdr:spPr bwMode="auto">
        <a:xfrm>
          <a:off x="4991101" y="1524000"/>
          <a:ext cx="1080000" cy="360000"/>
        </a:xfrm>
        <a:prstGeom prst="roundRect">
          <a:avLst/>
        </a:prstGeom>
        <a:solidFill>
          <a:schemeClr val="accent2">
            <a:lumMod val="40000"/>
            <a:lumOff val="60000"/>
          </a:schemeClr>
        </a:solidFill>
        <a:ln>
          <a:solidFill>
            <a:schemeClr val="accent2">
              <a:lumMod val="40000"/>
              <a:lumOff val="60000"/>
            </a:schemeClr>
          </a:solidFill>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lnRef>
        <a:fillRef idx="3">
          <a:schemeClr val="accent1"/>
        </a:fillRef>
        <a:effectRef idx="3">
          <a:schemeClr val="accent1"/>
        </a:effectRef>
        <a:fontRef idx="minor">
          <a:schemeClr val="lt1"/>
        </a:fontRef>
      </xdr:style>
      <xdr:txBody>
        <a:bodyPr vertOverflow="clip" wrap="square" lIns="18288" tIns="0" rIns="0" bIns="0" rtlCol="0" anchor="ctr" upright="1"/>
        <a:lstStyle/>
        <a:p>
          <a:pPr algn="ctr"/>
          <a:r>
            <a:rPr lang="pt-BR" sz="1000" b="1">
              <a:solidFill>
                <a:schemeClr val="accent2">
                  <a:lumMod val="75000"/>
                </a:schemeClr>
              </a:solidFill>
              <a:latin typeface="Arial" pitchFamily="34" charset="0"/>
              <a:cs typeface="Arial" pitchFamily="34" charset="0"/>
            </a:rPr>
            <a:t>Referência</a:t>
          </a:r>
        </a:p>
      </xdr:txBody>
    </xdr:sp>
    <xdr:clientData fPrintsWithSheet="0"/>
  </xdr:twoCellAnchor>
  <xdr:twoCellAnchor editAs="absolute">
    <xdr:from>
      <xdr:col>8</xdr:col>
      <xdr:colOff>152401</xdr:colOff>
      <xdr:row>15</xdr:row>
      <xdr:rowOff>19050</xdr:rowOff>
    </xdr:from>
    <xdr:to>
      <xdr:col>9</xdr:col>
      <xdr:colOff>518026</xdr:colOff>
      <xdr:row>17</xdr:row>
      <xdr:rowOff>55200</xdr:rowOff>
    </xdr:to>
    <xdr:sp macro="[0]!ir_para_aparelhos" textlink="">
      <xdr:nvSpPr>
        <xdr:cNvPr id="17" name="Retângulo de cantos arredondados 16">
          <a:extLst>
            <a:ext uri="{FF2B5EF4-FFF2-40B4-BE49-F238E27FC236}">
              <a16:creationId xmlns:a16="http://schemas.microsoft.com/office/drawing/2014/main" id="{00000000-0008-0000-0000-000011000000}"/>
            </a:ext>
          </a:extLst>
        </xdr:cNvPr>
        <xdr:cNvSpPr/>
      </xdr:nvSpPr>
      <xdr:spPr bwMode="auto">
        <a:xfrm>
          <a:off x="4991101" y="2952750"/>
          <a:ext cx="1080000" cy="360000"/>
        </a:xfrm>
        <a:prstGeom prst="roundRect">
          <a:avLst/>
        </a:prstGeom>
        <a:solidFill>
          <a:schemeClr val="accent2">
            <a:lumMod val="40000"/>
            <a:lumOff val="60000"/>
          </a:schemeClr>
        </a:solidFill>
        <a:ln>
          <a:solidFill>
            <a:schemeClr val="accent2">
              <a:lumMod val="40000"/>
              <a:lumOff val="60000"/>
            </a:schemeClr>
          </a:solidFill>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lnRef>
        <a:fillRef idx="3">
          <a:schemeClr val="accent1"/>
        </a:fillRef>
        <a:effectRef idx="3">
          <a:schemeClr val="accent1"/>
        </a:effectRef>
        <a:fontRef idx="minor">
          <a:schemeClr val="lt1"/>
        </a:fontRef>
      </xdr:style>
      <xdr:txBody>
        <a:bodyPr vertOverflow="clip" wrap="square" lIns="18288" tIns="0" rIns="0" bIns="0" rtlCol="0" anchor="ctr" upright="1"/>
        <a:lstStyle/>
        <a:p>
          <a:pPr algn="ctr"/>
          <a:r>
            <a:rPr lang="pt-BR" sz="1000" b="1">
              <a:solidFill>
                <a:schemeClr val="accent2">
                  <a:lumMod val="75000"/>
                </a:schemeClr>
              </a:solidFill>
              <a:latin typeface="Arial" pitchFamily="34" charset="0"/>
              <a:cs typeface="Arial" pitchFamily="34" charset="0"/>
            </a:rPr>
            <a:t>Aparelho</a:t>
          </a:r>
        </a:p>
      </xdr:txBody>
    </xdr:sp>
    <xdr:clientData fPrintsWithSheet="0"/>
  </xdr:twoCellAnchor>
  <xdr:twoCellAnchor editAs="absolute">
    <xdr:from>
      <xdr:col>5</xdr:col>
      <xdr:colOff>361950</xdr:colOff>
      <xdr:row>6</xdr:row>
      <xdr:rowOff>136281</xdr:rowOff>
    </xdr:from>
    <xdr:to>
      <xdr:col>7</xdr:col>
      <xdr:colOff>13200</xdr:colOff>
      <xdr:row>9</xdr:row>
      <xdr:rowOff>10506</xdr:rowOff>
    </xdr:to>
    <xdr:sp macro="[0]!ir_para_ficha_acompanhamento" textlink="">
      <xdr:nvSpPr>
        <xdr:cNvPr id="18" name="Retângulo de cantos arredondados 17">
          <a:extLst>
            <a:ext uri="{FF2B5EF4-FFF2-40B4-BE49-F238E27FC236}">
              <a16:creationId xmlns:a16="http://schemas.microsoft.com/office/drawing/2014/main" id="{00000000-0008-0000-0000-000012000000}"/>
            </a:ext>
          </a:extLst>
        </xdr:cNvPr>
        <xdr:cNvSpPr/>
      </xdr:nvSpPr>
      <xdr:spPr bwMode="auto">
        <a:xfrm>
          <a:off x="3162300" y="1526931"/>
          <a:ext cx="1080000" cy="360000"/>
        </a:xfrm>
        <a:prstGeom prst="roundRect">
          <a:avLst/>
        </a:prstGeom>
        <a:solidFill>
          <a:schemeClr val="accent2">
            <a:lumMod val="40000"/>
            <a:lumOff val="60000"/>
          </a:schemeClr>
        </a:solidFill>
        <a:ln w="9525" cap="flat" cmpd="sng" algn="ctr">
          <a:solidFill>
            <a:schemeClr val="accent2">
              <a:lumMod val="40000"/>
              <a:lumOff val="6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chemeClr val="accent2">
                  <a:lumMod val="75000"/>
                </a:schemeClr>
              </a:solidFill>
              <a:latin typeface="Arial" pitchFamily="34" charset="0"/>
              <a:cs typeface="Arial" pitchFamily="34" charset="0"/>
            </a:rPr>
            <a:t>Ficha de </a:t>
          </a:r>
          <a:r>
            <a:rPr lang="pt-BR" sz="900" b="1">
              <a:solidFill>
                <a:schemeClr val="accent2">
                  <a:lumMod val="75000"/>
                </a:schemeClr>
              </a:solidFill>
              <a:latin typeface="Arial" pitchFamily="34" charset="0"/>
              <a:cs typeface="Arial" pitchFamily="34" charset="0"/>
            </a:rPr>
            <a:t>Acompanhamento</a:t>
          </a:r>
        </a:p>
      </xdr:txBody>
    </xdr:sp>
    <xdr:clientData fPrintsWithSheet="0"/>
  </xdr:twoCellAnchor>
  <xdr:twoCellAnchor editAs="absolute">
    <xdr:from>
      <xdr:col>3</xdr:col>
      <xdr:colOff>95250</xdr:colOff>
      <xdr:row>10</xdr:row>
      <xdr:rowOff>57150</xdr:rowOff>
    </xdr:from>
    <xdr:to>
      <xdr:col>4</xdr:col>
      <xdr:colOff>460875</xdr:colOff>
      <xdr:row>12</xdr:row>
      <xdr:rowOff>93300</xdr:rowOff>
    </xdr:to>
    <xdr:sp macro="[0]!ir_para_OP" textlink="">
      <xdr:nvSpPr>
        <xdr:cNvPr id="24" name="Retângulo de cantos arredondados 23">
          <a:extLst>
            <a:ext uri="{FF2B5EF4-FFF2-40B4-BE49-F238E27FC236}">
              <a16:creationId xmlns:a16="http://schemas.microsoft.com/office/drawing/2014/main" id="{00000000-0008-0000-0000-000018000000}"/>
            </a:ext>
          </a:extLst>
        </xdr:cNvPr>
        <xdr:cNvSpPr/>
      </xdr:nvSpPr>
      <xdr:spPr bwMode="auto">
        <a:xfrm>
          <a:off x="1571625" y="2095500"/>
          <a:ext cx="1080000" cy="360000"/>
        </a:xfrm>
        <a:prstGeom prst="roundRect">
          <a:avLst/>
        </a:prstGeom>
        <a:solidFill>
          <a:schemeClr val="accent2">
            <a:lumMod val="40000"/>
            <a:lumOff val="60000"/>
          </a:schemeClr>
        </a:solidFill>
        <a:ln w="9525" cap="flat" cmpd="sng" algn="ctr">
          <a:solidFill>
            <a:schemeClr val="accent2">
              <a:lumMod val="40000"/>
              <a:lumOff val="6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chemeClr val="accent2">
                  <a:lumMod val="75000"/>
                </a:schemeClr>
              </a:solidFill>
              <a:latin typeface="Arial" pitchFamily="34" charset="0"/>
              <a:cs typeface="Arial" pitchFamily="34" charset="0"/>
            </a:rPr>
            <a:t>OP.</a:t>
          </a:r>
        </a:p>
      </xdr:txBody>
    </xdr:sp>
    <xdr:clientData fPrintsWithSheet="0"/>
  </xdr:twoCellAnchor>
  <xdr:twoCellAnchor>
    <xdr:from>
      <xdr:col>1</xdr:col>
      <xdr:colOff>9525</xdr:colOff>
      <xdr:row>1</xdr:row>
      <xdr:rowOff>9525</xdr:rowOff>
    </xdr:from>
    <xdr:to>
      <xdr:col>11</xdr:col>
      <xdr:colOff>0</xdr:colOff>
      <xdr:row>2</xdr:row>
      <xdr:rowOff>219075</xdr:rowOff>
    </xdr:to>
    <xdr:sp macro="" textlink="">
      <xdr:nvSpPr>
        <xdr:cNvPr id="25" name="Retângulo 24">
          <a:extLst>
            <a:ext uri="{FF2B5EF4-FFF2-40B4-BE49-F238E27FC236}">
              <a16:creationId xmlns:a16="http://schemas.microsoft.com/office/drawing/2014/main" id="{00000000-0008-0000-0000-000019000000}"/>
            </a:ext>
          </a:extLst>
        </xdr:cNvPr>
        <xdr:cNvSpPr/>
      </xdr:nvSpPr>
      <xdr:spPr>
        <a:xfrm>
          <a:off x="161925" y="171450"/>
          <a:ext cx="6715125" cy="48577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pt-BR" sz="1200" b="0">
              <a:solidFill>
                <a:schemeClr val="accent2">
                  <a:lumMod val="75000"/>
                </a:schemeClr>
              </a:solidFill>
            </a:rPr>
            <a:t>SEQ. OPERACIONAL / FICHA ACOMPANHAMENTO / </a:t>
          </a:r>
          <a:r>
            <a:rPr lang="pt-BR" sz="1200" b="1">
              <a:solidFill>
                <a:schemeClr val="accent2">
                  <a:lumMod val="75000"/>
                </a:schemeClr>
              </a:solidFill>
            </a:rPr>
            <a:t>FICHA BALANCEAMENTO</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238126</xdr:colOff>
      <xdr:row>0</xdr:row>
      <xdr:rowOff>57150</xdr:rowOff>
    </xdr:from>
    <xdr:to>
      <xdr:col>12</xdr:col>
      <xdr:colOff>584454</xdr:colOff>
      <xdr:row>1</xdr:row>
      <xdr:rowOff>55200</xdr:rowOff>
    </xdr:to>
    <xdr:pic macro="[0]!tela_inteira">
      <xdr:nvPicPr>
        <xdr:cNvPr id="2" name="Imagem 1" descr="Botão tela inteira.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10296526" y="57150"/>
          <a:ext cx="346328" cy="360000"/>
        </a:xfrm>
        <a:prstGeom prst="rect">
          <a:avLst/>
        </a:prstGeom>
      </xdr:spPr>
    </xdr:pic>
    <xdr:clientData/>
  </xdr:twoCellAnchor>
  <xdr:twoCellAnchor editAs="oneCell">
    <xdr:from>
      <xdr:col>11</xdr:col>
      <xdr:colOff>28575</xdr:colOff>
      <xdr:row>1</xdr:row>
      <xdr:rowOff>82634</xdr:rowOff>
    </xdr:from>
    <xdr:to>
      <xdr:col>12</xdr:col>
      <xdr:colOff>174975</xdr:colOff>
      <xdr:row>2</xdr:row>
      <xdr:rowOff>132509</xdr:rowOff>
    </xdr:to>
    <xdr:sp macro="[0]!reexibir_linhas_em_seq_operacional" textlink="">
      <xdr:nvSpPr>
        <xdr:cNvPr id="3" name="Retângulo de cantos arredondados 2">
          <a:extLst>
            <a:ext uri="{FF2B5EF4-FFF2-40B4-BE49-F238E27FC236}">
              <a16:creationId xmlns:a16="http://schemas.microsoft.com/office/drawing/2014/main" id="{00000000-0008-0000-0100-000003000000}"/>
            </a:ext>
          </a:extLst>
        </xdr:cNvPr>
        <xdr:cNvSpPr/>
      </xdr:nvSpPr>
      <xdr:spPr bwMode="auto">
        <a:xfrm>
          <a:off x="9477375" y="444584"/>
          <a:ext cx="756000" cy="288000"/>
        </a:xfrm>
        <a:prstGeom prst="roundRect">
          <a:avLst/>
        </a:prstGeom>
        <a:solidFill>
          <a:schemeClr val="accent5">
            <a:lumMod val="40000"/>
            <a:lumOff val="60000"/>
          </a:schemeClr>
        </a:solidFill>
        <a:ln w="9525" cap="flat" cmpd="sng" algn="ctr">
          <a:solidFill>
            <a:schemeClr val="accent5">
              <a:lumMod val="40000"/>
              <a:lumOff val="6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800" b="1">
              <a:solidFill>
                <a:srgbClr val="0000FF"/>
              </a:solidFill>
              <a:latin typeface="Arial" pitchFamily="34" charset="0"/>
              <a:cs typeface="Arial" pitchFamily="34" charset="0"/>
            </a:rPr>
            <a:t>Reexibir linhas</a:t>
          </a:r>
        </a:p>
        <a:p>
          <a:pPr algn="ctr"/>
          <a:r>
            <a:rPr lang="pt-BR" sz="800" b="1">
              <a:solidFill>
                <a:srgbClr val="0000FF"/>
              </a:solidFill>
              <a:latin typeface="Arial" pitchFamily="34" charset="0"/>
              <a:cs typeface="Arial" pitchFamily="34" charset="0"/>
            </a:rPr>
            <a:t>em branco</a:t>
          </a:r>
        </a:p>
      </xdr:txBody>
    </xdr:sp>
    <xdr:clientData fPrintsWithSheet="0"/>
  </xdr:twoCellAnchor>
  <xdr:twoCellAnchor editAs="oneCell">
    <xdr:from>
      <xdr:col>11</xdr:col>
      <xdr:colOff>16666</xdr:colOff>
      <xdr:row>0</xdr:row>
      <xdr:rowOff>65640</xdr:rowOff>
    </xdr:from>
    <xdr:to>
      <xdr:col>12</xdr:col>
      <xdr:colOff>163066</xdr:colOff>
      <xdr:row>0</xdr:row>
      <xdr:rowOff>353640</xdr:rowOff>
    </xdr:to>
    <xdr:sp macro="[0]!ocultar_linhas_em_seq_operacional" textlink="">
      <xdr:nvSpPr>
        <xdr:cNvPr id="4" name="Retângulo de cantos arredondados 3">
          <a:extLst>
            <a:ext uri="{FF2B5EF4-FFF2-40B4-BE49-F238E27FC236}">
              <a16:creationId xmlns:a16="http://schemas.microsoft.com/office/drawing/2014/main" id="{00000000-0008-0000-0100-000004000000}"/>
            </a:ext>
          </a:extLst>
        </xdr:cNvPr>
        <xdr:cNvSpPr/>
      </xdr:nvSpPr>
      <xdr:spPr bwMode="auto">
        <a:xfrm>
          <a:off x="9465466" y="65640"/>
          <a:ext cx="756000" cy="288000"/>
        </a:xfrm>
        <a:prstGeom prst="roundRect">
          <a:avLst/>
        </a:prstGeom>
        <a:solidFill>
          <a:schemeClr val="accent5">
            <a:lumMod val="40000"/>
            <a:lumOff val="60000"/>
          </a:schemeClr>
        </a:solidFill>
        <a:ln w="9525" cap="flat" cmpd="sng" algn="ctr">
          <a:solidFill>
            <a:schemeClr val="accent5">
              <a:lumMod val="40000"/>
              <a:lumOff val="6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800" b="1">
              <a:solidFill>
                <a:srgbClr val="FF0000"/>
              </a:solidFill>
              <a:latin typeface="Arial" pitchFamily="34" charset="0"/>
              <a:cs typeface="Arial" pitchFamily="34" charset="0"/>
            </a:rPr>
            <a:t>Ocultar linhas</a:t>
          </a:r>
        </a:p>
        <a:p>
          <a:pPr algn="ctr"/>
          <a:r>
            <a:rPr lang="pt-BR" sz="800" b="1">
              <a:solidFill>
                <a:srgbClr val="FF0000"/>
              </a:solidFill>
              <a:latin typeface="Arial" pitchFamily="34" charset="0"/>
              <a:cs typeface="Arial" pitchFamily="34" charset="0"/>
            </a:rPr>
            <a:t>em branco</a:t>
          </a:r>
        </a:p>
      </xdr:txBody>
    </xdr:sp>
    <xdr:clientData fPrintsWithSheet="0"/>
  </xdr:twoCellAnchor>
  <xdr:twoCellAnchor editAs="oneCell">
    <xdr:from>
      <xdr:col>9</xdr:col>
      <xdr:colOff>481013</xdr:colOff>
      <xdr:row>0</xdr:row>
      <xdr:rowOff>82094</xdr:rowOff>
    </xdr:from>
    <xdr:to>
      <xdr:col>10</xdr:col>
      <xdr:colOff>483413</xdr:colOff>
      <xdr:row>0</xdr:row>
      <xdr:rowOff>334094</xdr:rowOff>
    </xdr:to>
    <xdr:sp macro="[0]!limpar_seq_operacional" textlink="">
      <xdr:nvSpPr>
        <xdr:cNvPr id="5" name="Retângulo de cantos arredondados 4">
          <a:extLst>
            <a:ext uri="{FF2B5EF4-FFF2-40B4-BE49-F238E27FC236}">
              <a16:creationId xmlns:a16="http://schemas.microsoft.com/office/drawing/2014/main" id="{00000000-0008-0000-0100-000005000000}"/>
            </a:ext>
          </a:extLst>
        </xdr:cNvPr>
        <xdr:cNvSpPr>
          <a:spLocks/>
        </xdr:cNvSpPr>
      </xdr:nvSpPr>
      <xdr:spPr>
        <a:xfrm>
          <a:off x="8710613" y="82094"/>
          <a:ext cx="612000" cy="252000"/>
        </a:xfrm>
        <a:prstGeom prst="roundRect">
          <a:avLst/>
        </a:prstGeom>
        <a:solidFill>
          <a:srgbClr val="FF0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5"/>
        </a:lnRef>
        <a:fillRef idx="3">
          <a:schemeClr val="accent5"/>
        </a:fillRef>
        <a:effectRef idx="3">
          <a:schemeClr val="accent5"/>
        </a:effectRef>
        <a:fontRef idx="minor">
          <a:schemeClr val="lt1"/>
        </a:fontRef>
      </xdr:style>
      <xdr:txBody>
        <a:bodyPr vertOverflow="clip" rtlCol="0" anchor="ctr"/>
        <a:lstStyle/>
        <a:p>
          <a:pPr algn="ctr"/>
          <a:r>
            <a:rPr lang="pt-BR" sz="1000" b="1">
              <a:latin typeface="+mn-lt"/>
              <a:cs typeface="Arial" pitchFamily="34" charset="0"/>
            </a:rPr>
            <a:t>Limpar</a:t>
          </a:r>
        </a:p>
      </xdr:txBody>
    </xdr:sp>
    <xdr:clientData fPrintsWithSheet="0"/>
  </xdr:twoCellAnchor>
  <xdr:twoCellAnchor editAs="oneCell">
    <xdr:from>
      <xdr:col>8</xdr:col>
      <xdr:colOff>190500</xdr:colOff>
      <xdr:row>0</xdr:row>
      <xdr:rowOff>66674</xdr:rowOff>
    </xdr:from>
    <xdr:to>
      <xdr:col>9</xdr:col>
      <xdr:colOff>336900</xdr:colOff>
      <xdr:row>0</xdr:row>
      <xdr:rowOff>354674</xdr:rowOff>
    </xdr:to>
    <xdr:sp macro="[0]!ir_para_menu" textlink="">
      <xdr:nvSpPr>
        <xdr:cNvPr id="6" name="Retângulo de cantos arredondados 5">
          <a:extLst>
            <a:ext uri="{FF2B5EF4-FFF2-40B4-BE49-F238E27FC236}">
              <a16:creationId xmlns:a16="http://schemas.microsoft.com/office/drawing/2014/main" id="{00000000-0008-0000-0100-000006000000}"/>
            </a:ext>
          </a:extLst>
        </xdr:cNvPr>
        <xdr:cNvSpPr/>
      </xdr:nvSpPr>
      <xdr:spPr bwMode="auto">
        <a:xfrm>
          <a:off x="7810500" y="66674"/>
          <a:ext cx="756000" cy="288000"/>
        </a:xfrm>
        <a:prstGeom prst="roundRect">
          <a:avLst/>
        </a:prstGeom>
        <a:solidFill>
          <a:srgbClr val="00B0F0"/>
        </a:solidFill>
        <a:ln w="9525" cap="flat" cmpd="sng" algn="ctr">
          <a:solidFill>
            <a:srgbClr val="00B0F0"/>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rgbClr val="0000CC"/>
              </a:solidFill>
              <a:latin typeface="Arial" pitchFamily="34" charset="0"/>
              <a:cs typeface="Arial" pitchFamily="34" charset="0"/>
            </a:rPr>
            <a:t>Menu</a:t>
          </a:r>
          <a:endParaRPr lang="pt-BR" sz="1000" b="1">
            <a:solidFill>
              <a:srgbClr val="0000CC"/>
            </a:solidFill>
            <a:latin typeface="Arial" pitchFamily="34" charset="0"/>
            <a:ea typeface="+mn-ea"/>
            <a:cs typeface="Arial" pitchFamily="34" charset="0"/>
          </a:endParaRPr>
        </a:p>
      </xdr:txBody>
    </xdr:sp>
    <xdr:clientData fPrintsWithSheet="0"/>
  </xdr:twoCellAnchor>
  <xdr:twoCellAnchor editAs="oneCell">
    <xdr:from>
      <xdr:col>9</xdr:col>
      <xdr:colOff>407297</xdr:colOff>
      <xdr:row>1</xdr:row>
      <xdr:rowOff>83121</xdr:rowOff>
    </xdr:from>
    <xdr:to>
      <xdr:col>10</xdr:col>
      <xdr:colOff>553697</xdr:colOff>
      <xdr:row>2</xdr:row>
      <xdr:rowOff>132996</xdr:rowOff>
    </xdr:to>
    <xdr:sp macro="[0]!imprimir_seq_operacional" textlink="">
      <xdr:nvSpPr>
        <xdr:cNvPr id="7" name="Retângulo de cantos arredondados 6">
          <a:extLst>
            <a:ext uri="{FF2B5EF4-FFF2-40B4-BE49-F238E27FC236}">
              <a16:creationId xmlns:a16="http://schemas.microsoft.com/office/drawing/2014/main" id="{00000000-0008-0000-0100-000007000000}"/>
            </a:ext>
          </a:extLst>
        </xdr:cNvPr>
        <xdr:cNvSpPr/>
      </xdr:nvSpPr>
      <xdr:spPr bwMode="auto">
        <a:xfrm>
          <a:off x="8636897" y="445071"/>
          <a:ext cx="756000" cy="288000"/>
        </a:xfrm>
        <a:prstGeom prst="roundRect">
          <a:avLst/>
        </a:prstGeom>
        <a:solidFill>
          <a:srgbClr val="00CC00"/>
        </a:solidFill>
        <a:ln w="9525" cap="flat" cmpd="sng" algn="ctr">
          <a:solidFill>
            <a:srgbClr val="00CC00"/>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chemeClr val="bg1"/>
              </a:solidFill>
            </a:rPr>
            <a:t>Imprimir </a:t>
          </a:r>
        </a:p>
      </xdr:txBody>
    </xdr:sp>
    <xdr:clientData fPrintsWithSheet="0"/>
  </xdr:twoCellAnchor>
  <xdr:twoCellAnchor editAs="oneCell">
    <xdr:from>
      <xdr:col>6</xdr:col>
      <xdr:colOff>123825</xdr:colOff>
      <xdr:row>4</xdr:row>
      <xdr:rowOff>47625</xdr:rowOff>
    </xdr:from>
    <xdr:to>
      <xdr:col>6</xdr:col>
      <xdr:colOff>879825</xdr:colOff>
      <xdr:row>4</xdr:row>
      <xdr:rowOff>335625</xdr:rowOff>
    </xdr:to>
    <xdr:sp macro="[0]!cadastrar_seq_operacional" textlink="$N$5">
      <xdr:nvSpPr>
        <xdr:cNvPr id="8" name="Retângulo de cantos arredondados 7">
          <a:extLst>
            <a:ext uri="{FF2B5EF4-FFF2-40B4-BE49-F238E27FC236}">
              <a16:creationId xmlns:a16="http://schemas.microsoft.com/office/drawing/2014/main" id="{00000000-0008-0000-0100-000008000000}"/>
            </a:ext>
          </a:extLst>
        </xdr:cNvPr>
        <xdr:cNvSpPr/>
      </xdr:nvSpPr>
      <xdr:spPr bwMode="auto">
        <a:xfrm>
          <a:off x="6153150" y="885825"/>
          <a:ext cx="756000" cy="288000"/>
        </a:xfrm>
        <a:prstGeom prst="roundRect">
          <a:avLst/>
        </a:prstGeom>
        <a:solidFill>
          <a:srgbClr val="92D050"/>
        </a:solidFill>
        <a:ln w="9525" cap="flat" cmpd="sng" algn="ctr">
          <a:solidFill>
            <a:srgbClr val="92D050"/>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fld id="{AF53272B-5301-4C74-85E1-224B34CF13D1}" type="TxLink">
            <a:rPr lang="en-US" sz="1100" b="0" i="0" u="none" strike="noStrike">
              <a:solidFill>
                <a:sysClr val="windowText" lastClr="000000"/>
              </a:solidFill>
              <a:latin typeface="Calibri"/>
              <a:cs typeface="Calibri"/>
            </a:rPr>
            <a:pPr algn="ctr"/>
            <a:t>- - -</a:t>
          </a:fld>
          <a:endParaRPr lang="en-US" sz="1100" b="0" i="0" u="none" strike="noStrike">
            <a:solidFill>
              <a:sysClr val="windowText" lastClr="000000"/>
            </a:solidFill>
            <a:latin typeface="Calibri"/>
            <a:cs typeface="Calibri"/>
          </a:endParaRPr>
        </a:p>
      </xdr:txBody>
    </xdr:sp>
    <xdr:clientData fPrintsWithSheet="0"/>
  </xdr:twoCellAnchor>
  <xdr:twoCellAnchor editAs="oneCell">
    <xdr:from>
      <xdr:col>2</xdr:col>
      <xdr:colOff>85725</xdr:colOff>
      <xdr:row>4</xdr:row>
      <xdr:rowOff>57150</xdr:rowOff>
    </xdr:from>
    <xdr:to>
      <xdr:col>2</xdr:col>
      <xdr:colOff>314325</xdr:colOff>
      <xdr:row>4</xdr:row>
      <xdr:rowOff>352425</xdr:rowOff>
    </xdr:to>
    <xdr:sp macro="[0]!ordem_seq_em_seq_operacional" textlink="">
      <xdr:nvSpPr>
        <xdr:cNvPr id="9" name="Seta para cima 8">
          <a:extLst>
            <a:ext uri="{FF2B5EF4-FFF2-40B4-BE49-F238E27FC236}">
              <a16:creationId xmlns:a16="http://schemas.microsoft.com/office/drawing/2014/main" id="{00000000-0008-0000-0100-000009000000}"/>
            </a:ext>
          </a:extLst>
        </xdr:cNvPr>
        <xdr:cNvSpPr/>
      </xdr:nvSpPr>
      <xdr:spPr>
        <a:xfrm>
          <a:off x="552450" y="838200"/>
          <a:ext cx="228600" cy="295275"/>
        </a:xfrm>
        <a:prstGeom prst="upArrow">
          <a:avLst/>
        </a:prstGeom>
        <a:solidFill>
          <a:srgbClr val="0000FF"/>
        </a:solidFill>
        <a:ln>
          <a:solidFill>
            <a:srgbClr val="0000FF"/>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pt-BR" sz="1100"/>
        </a:p>
      </xdr:txBody>
    </xdr:sp>
    <xdr:clientData fPrintsWithSheet="0"/>
  </xdr:twoCellAnchor>
  <xdr:twoCellAnchor>
    <xdr:from>
      <xdr:col>2</xdr:col>
      <xdr:colOff>9525</xdr:colOff>
      <xdr:row>1</xdr:row>
      <xdr:rowOff>19050</xdr:rowOff>
    </xdr:from>
    <xdr:to>
      <xdr:col>2</xdr:col>
      <xdr:colOff>513525</xdr:colOff>
      <xdr:row>1</xdr:row>
      <xdr:rowOff>235050</xdr:rowOff>
    </xdr:to>
    <xdr:sp macro="" textlink="">
      <xdr:nvSpPr>
        <xdr:cNvPr id="10" name="Retângulo 9">
          <a:extLst>
            <a:ext uri="{FF2B5EF4-FFF2-40B4-BE49-F238E27FC236}">
              <a16:creationId xmlns:a16="http://schemas.microsoft.com/office/drawing/2014/main" id="{00000000-0008-0000-0100-00000A000000}"/>
            </a:ext>
          </a:extLst>
        </xdr:cNvPr>
        <xdr:cNvSpPr/>
      </xdr:nvSpPr>
      <xdr:spPr>
        <a:xfrm>
          <a:off x="476250" y="381000"/>
          <a:ext cx="504000" cy="216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r>
            <a:rPr lang="pt-BR" sz="1200" b="1">
              <a:solidFill>
                <a:sysClr val="windowText" lastClr="000000"/>
              </a:solidFill>
            </a:rPr>
            <a:t>Ref.:</a:t>
          </a:r>
        </a:p>
      </xdr:txBody>
    </xdr:sp>
    <xdr:clientData/>
  </xdr:twoCellAnchor>
  <xdr:twoCellAnchor>
    <xdr:from>
      <xdr:col>1</xdr:col>
      <xdr:colOff>342900</xdr:colOff>
      <xdr:row>2</xdr:row>
      <xdr:rowOff>9525</xdr:rowOff>
    </xdr:from>
    <xdr:to>
      <xdr:col>2</xdr:col>
      <xdr:colOff>524175</xdr:colOff>
      <xdr:row>2</xdr:row>
      <xdr:rowOff>225525</xdr:rowOff>
    </xdr:to>
    <xdr:sp macro="" textlink="">
      <xdr:nvSpPr>
        <xdr:cNvPr id="11" name="Retângulo 10">
          <a:extLst>
            <a:ext uri="{FF2B5EF4-FFF2-40B4-BE49-F238E27FC236}">
              <a16:creationId xmlns:a16="http://schemas.microsoft.com/office/drawing/2014/main" id="{00000000-0008-0000-0100-00000B000000}"/>
            </a:ext>
          </a:extLst>
        </xdr:cNvPr>
        <xdr:cNvSpPr/>
      </xdr:nvSpPr>
      <xdr:spPr>
        <a:xfrm>
          <a:off x="342900" y="609600"/>
          <a:ext cx="648000" cy="216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r>
            <a:rPr lang="pt-BR" sz="1100" b="1">
              <a:solidFill>
                <a:sysClr val="windowText" lastClr="000000"/>
              </a:solidFill>
            </a:rPr>
            <a:t>Descr.:</a:t>
          </a:r>
        </a:p>
      </xdr:txBody>
    </xdr:sp>
    <xdr:clientData/>
  </xdr:twoCellAnchor>
  <xdr:twoCellAnchor>
    <xdr:from>
      <xdr:col>3</xdr:col>
      <xdr:colOff>180977</xdr:colOff>
      <xdr:row>1</xdr:row>
      <xdr:rowOff>0</xdr:rowOff>
    </xdr:from>
    <xdr:to>
      <xdr:col>4</xdr:col>
      <xdr:colOff>714375</xdr:colOff>
      <xdr:row>2</xdr:row>
      <xdr:rowOff>13875</xdr:rowOff>
    </xdr:to>
    <xdr:sp macro="" textlink="$N$3">
      <xdr:nvSpPr>
        <xdr:cNvPr id="13" name="Retângulo 12">
          <a:extLst>
            <a:ext uri="{FF2B5EF4-FFF2-40B4-BE49-F238E27FC236}">
              <a16:creationId xmlns:a16="http://schemas.microsoft.com/office/drawing/2014/main" id="{00000000-0008-0000-0100-00000D000000}"/>
            </a:ext>
          </a:extLst>
        </xdr:cNvPr>
        <xdr:cNvSpPr/>
      </xdr:nvSpPr>
      <xdr:spPr>
        <a:xfrm>
          <a:off x="3924302" y="361950"/>
          <a:ext cx="1295398" cy="2520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r"/>
          <a:fld id="{01F96611-36F9-4184-B2A5-A51BDBC58736}" type="TxLink">
            <a:rPr lang="en-US" sz="1400" b="1" i="0" u="none" strike="noStrike">
              <a:solidFill>
                <a:srgbClr val="FF0000"/>
              </a:solidFill>
              <a:latin typeface="Calibri"/>
              <a:cs typeface="Calibri"/>
            </a:rPr>
            <a:pPr algn="r"/>
            <a:t> </a:t>
          </a:fld>
          <a:endParaRPr lang="pt-BR" sz="1400" b="1">
            <a:solidFill>
              <a:srgbClr val="FF0000"/>
            </a:solidFill>
          </a:endParaRPr>
        </a:p>
      </xdr:txBody>
    </xdr:sp>
    <xdr:clientData/>
  </xdr:twoCellAnchor>
  <xdr:twoCellAnchor editAs="oneCell">
    <xdr:from>
      <xdr:col>6</xdr:col>
      <xdr:colOff>131072</xdr:colOff>
      <xdr:row>1</xdr:row>
      <xdr:rowOff>83121</xdr:rowOff>
    </xdr:from>
    <xdr:to>
      <xdr:col>6</xdr:col>
      <xdr:colOff>887072</xdr:colOff>
      <xdr:row>2</xdr:row>
      <xdr:rowOff>132996</xdr:rowOff>
    </xdr:to>
    <xdr:sp macro="[0]!ir_de_seq_operacional_para_consulta_seq_operacional" textlink="">
      <xdr:nvSpPr>
        <xdr:cNvPr id="14" name="Retângulo de cantos arredondados 13">
          <a:extLst>
            <a:ext uri="{FF2B5EF4-FFF2-40B4-BE49-F238E27FC236}">
              <a16:creationId xmlns:a16="http://schemas.microsoft.com/office/drawing/2014/main" id="{00000000-0008-0000-0100-00000E000000}"/>
            </a:ext>
          </a:extLst>
        </xdr:cNvPr>
        <xdr:cNvSpPr/>
      </xdr:nvSpPr>
      <xdr:spPr bwMode="auto">
        <a:xfrm>
          <a:off x="6160397" y="445071"/>
          <a:ext cx="756000" cy="288000"/>
        </a:xfrm>
        <a:prstGeom prst="roundRect">
          <a:avLst/>
        </a:prstGeom>
        <a:solidFill>
          <a:schemeClr val="accent4"/>
        </a:solidFill>
        <a:ln w="9525" cap="flat" cmpd="sng" algn="ctr">
          <a:solidFill>
            <a:schemeClr val="accent4"/>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chemeClr val="bg1"/>
              </a:solidFill>
            </a:rPr>
            <a:t>Consultar</a:t>
          </a:r>
        </a:p>
      </xdr:txBody>
    </xdr:sp>
    <xdr:clientData fPrintsWithSheet="0"/>
  </xdr:twoCellAnchor>
  <xdr:twoCellAnchor editAs="oneCell">
    <xdr:from>
      <xdr:col>8</xdr:col>
      <xdr:colOff>188222</xdr:colOff>
      <xdr:row>1</xdr:row>
      <xdr:rowOff>83121</xdr:rowOff>
    </xdr:from>
    <xdr:to>
      <xdr:col>9</xdr:col>
      <xdr:colOff>334622</xdr:colOff>
      <xdr:row>2</xdr:row>
      <xdr:rowOff>132996</xdr:rowOff>
    </xdr:to>
    <xdr:sp macro="[0]!ir_para_referência" textlink="">
      <xdr:nvSpPr>
        <xdr:cNvPr id="15" name="Retângulo de cantos arredondados 14">
          <a:extLst>
            <a:ext uri="{FF2B5EF4-FFF2-40B4-BE49-F238E27FC236}">
              <a16:creationId xmlns:a16="http://schemas.microsoft.com/office/drawing/2014/main" id="{00000000-0008-0000-0100-00000F000000}"/>
            </a:ext>
          </a:extLst>
        </xdr:cNvPr>
        <xdr:cNvSpPr/>
      </xdr:nvSpPr>
      <xdr:spPr bwMode="auto">
        <a:xfrm>
          <a:off x="7808222" y="445071"/>
          <a:ext cx="756000" cy="288000"/>
        </a:xfrm>
        <a:prstGeom prst="roundRect">
          <a:avLst/>
        </a:prstGeom>
        <a:solidFill>
          <a:schemeClr val="tx2">
            <a:lumMod val="60000"/>
            <a:lumOff val="40000"/>
          </a:schemeClr>
        </a:solidFill>
        <a:ln w="9525" cap="flat" cmpd="sng" algn="ctr">
          <a:solidFill>
            <a:schemeClr val="tx2">
              <a:lumMod val="60000"/>
              <a:lumOff val="4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chemeClr val="bg1"/>
              </a:solidFill>
            </a:rPr>
            <a:t>Referência</a:t>
          </a:r>
        </a:p>
      </xdr:txBody>
    </xdr:sp>
    <xdr:clientData fPrintsWithSheet="0"/>
  </xdr:twoCellAnchor>
  <xdr:twoCellAnchor editAs="oneCell">
    <xdr:from>
      <xdr:col>6</xdr:col>
      <xdr:colOff>133350</xdr:colOff>
      <xdr:row>0</xdr:row>
      <xdr:rowOff>66675</xdr:rowOff>
    </xdr:from>
    <xdr:to>
      <xdr:col>6</xdr:col>
      <xdr:colOff>889350</xdr:colOff>
      <xdr:row>0</xdr:row>
      <xdr:rowOff>354675</xdr:rowOff>
    </xdr:to>
    <xdr:sp macro="[0]!ir_para_operações" textlink="">
      <xdr:nvSpPr>
        <xdr:cNvPr id="16" name="Retângulo de cantos arredondados 15">
          <a:extLst>
            <a:ext uri="{FF2B5EF4-FFF2-40B4-BE49-F238E27FC236}">
              <a16:creationId xmlns:a16="http://schemas.microsoft.com/office/drawing/2014/main" id="{00000000-0008-0000-0100-000010000000}"/>
            </a:ext>
          </a:extLst>
        </xdr:cNvPr>
        <xdr:cNvSpPr/>
      </xdr:nvSpPr>
      <xdr:spPr bwMode="auto">
        <a:xfrm>
          <a:off x="6162675" y="66675"/>
          <a:ext cx="756000" cy="288000"/>
        </a:xfrm>
        <a:prstGeom prst="roundRect">
          <a:avLst/>
        </a:prstGeom>
        <a:solidFill>
          <a:schemeClr val="accent3">
            <a:lumMod val="40000"/>
            <a:lumOff val="60000"/>
          </a:schemeClr>
        </a:solidFill>
        <a:ln w="9525" cap="flat" cmpd="sng" algn="ctr">
          <a:solidFill>
            <a:schemeClr val="accent3">
              <a:lumMod val="40000"/>
              <a:lumOff val="6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chemeClr val="accent3">
                  <a:lumMod val="75000"/>
                </a:schemeClr>
              </a:solidFill>
            </a:rPr>
            <a:t>Operações</a:t>
          </a:r>
        </a:p>
      </xdr:txBody>
    </xdr:sp>
    <xdr:clientData fPrintsWithSheet="0"/>
  </xdr:twoCellAnchor>
  <xdr:twoCellAnchor editAs="oneCell">
    <xdr:from>
      <xdr:col>14</xdr:col>
      <xdr:colOff>76200</xdr:colOff>
      <xdr:row>0</xdr:row>
      <xdr:rowOff>57150</xdr:rowOff>
    </xdr:from>
    <xdr:to>
      <xdr:col>15</xdr:col>
      <xdr:colOff>219075</xdr:colOff>
      <xdr:row>0</xdr:row>
      <xdr:rowOff>345150</xdr:rowOff>
    </xdr:to>
    <xdr:sp macro="[0]!ir_para_BD_da_seq_op" textlink="">
      <xdr:nvSpPr>
        <xdr:cNvPr id="17" name="Retângulo de cantos arredondados 16">
          <a:extLst>
            <a:ext uri="{FF2B5EF4-FFF2-40B4-BE49-F238E27FC236}">
              <a16:creationId xmlns:a16="http://schemas.microsoft.com/office/drawing/2014/main" id="{00000000-0008-0000-0100-000011000000}"/>
            </a:ext>
          </a:extLst>
        </xdr:cNvPr>
        <xdr:cNvSpPr/>
      </xdr:nvSpPr>
      <xdr:spPr bwMode="auto">
        <a:xfrm>
          <a:off x="11410950" y="57150"/>
          <a:ext cx="752475" cy="288000"/>
        </a:xfrm>
        <a:prstGeom prst="roundRect">
          <a:avLst/>
        </a:prstGeom>
        <a:solidFill>
          <a:schemeClr val="accent2">
            <a:lumMod val="50000"/>
          </a:schemeClr>
        </a:solidFill>
        <a:ln w="9525" cap="flat" cmpd="sng" algn="ctr">
          <a:solidFill>
            <a:schemeClr val="accent2">
              <a:lumMod val="5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900" b="1">
              <a:solidFill>
                <a:schemeClr val="accent6">
                  <a:lumMod val="20000"/>
                  <a:lumOff val="80000"/>
                </a:schemeClr>
              </a:solidFill>
            </a:rPr>
            <a:t>BD Todas Seq.</a:t>
          </a:r>
        </a:p>
      </xdr:txBody>
    </xdr:sp>
    <xdr:clientData fPrintsWithSheet="0"/>
  </xdr:twoCellAnchor>
  <xdr:twoCellAnchor editAs="oneCell">
    <xdr:from>
      <xdr:col>6</xdr:col>
      <xdr:colOff>952500</xdr:colOff>
      <xdr:row>1</xdr:row>
      <xdr:rowOff>85725</xdr:rowOff>
    </xdr:from>
    <xdr:to>
      <xdr:col>8</xdr:col>
      <xdr:colOff>117825</xdr:colOff>
      <xdr:row>2</xdr:row>
      <xdr:rowOff>135600</xdr:rowOff>
    </xdr:to>
    <xdr:sp macro="[0]!ir_para_aparelhos" textlink="">
      <xdr:nvSpPr>
        <xdr:cNvPr id="19" name="Retângulo de cantos arredondados 18">
          <a:extLst>
            <a:ext uri="{FF2B5EF4-FFF2-40B4-BE49-F238E27FC236}">
              <a16:creationId xmlns:a16="http://schemas.microsoft.com/office/drawing/2014/main" id="{00000000-0008-0000-0100-000013000000}"/>
            </a:ext>
          </a:extLst>
        </xdr:cNvPr>
        <xdr:cNvSpPr/>
      </xdr:nvSpPr>
      <xdr:spPr bwMode="auto">
        <a:xfrm>
          <a:off x="6981825" y="447675"/>
          <a:ext cx="756000" cy="288000"/>
        </a:xfrm>
        <a:prstGeom prst="roundRect">
          <a:avLst/>
        </a:prstGeom>
        <a:solidFill>
          <a:schemeClr val="accent6">
            <a:lumMod val="60000"/>
            <a:lumOff val="40000"/>
          </a:schemeClr>
        </a:solidFill>
        <a:ln w="9525" cap="flat" cmpd="sng" algn="ctr">
          <a:solidFill>
            <a:schemeClr val="accent6">
              <a:lumMod val="60000"/>
              <a:lumOff val="4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chemeClr val="accent6">
                  <a:lumMod val="50000"/>
                </a:schemeClr>
              </a:solidFill>
            </a:rPr>
            <a:t>Aparelhos</a:t>
          </a:r>
        </a:p>
      </xdr:txBody>
    </xdr:sp>
    <xdr:clientData fPrintsWithSheet="0"/>
  </xdr:twoCellAnchor>
  <xdr:twoCellAnchor editAs="oneCell">
    <xdr:from>
      <xdr:col>6</xdr:col>
      <xdr:colOff>952500</xdr:colOff>
      <xdr:row>0</xdr:row>
      <xdr:rowOff>66675</xdr:rowOff>
    </xdr:from>
    <xdr:to>
      <xdr:col>8</xdr:col>
      <xdr:colOff>117825</xdr:colOff>
      <xdr:row>0</xdr:row>
      <xdr:rowOff>354675</xdr:rowOff>
    </xdr:to>
    <xdr:sp macro="[0]!ir_para_maquinas" textlink="">
      <xdr:nvSpPr>
        <xdr:cNvPr id="20" name="Retângulo de cantos arredondados 19">
          <a:extLst>
            <a:ext uri="{FF2B5EF4-FFF2-40B4-BE49-F238E27FC236}">
              <a16:creationId xmlns:a16="http://schemas.microsoft.com/office/drawing/2014/main" id="{00000000-0008-0000-0100-000014000000}"/>
            </a:ext>
          </a:extLst>
        </xdr:cNvPr>
        <xdr:cNvSpPr/>
      </xdr:nvSpPr>
      <xdr:spPr bwMode="auto">
        <a:xfrm>
          <a:off x="6981825" y="66675"/>
          <a:ext cx="756000" cy="288000"/>
        </a:xfrm>
        <a:prstGeom prst="roundRect">
          <a:avLst/>
        </a:prstGeom>
        <a:solidFill>
          <a:schemeClr val="accent6">
            <a:lumMod val="40000"/>
            <a:lumOff val="60000"/>
          </a:schemeClr>
        </a:solidFill>
        <a:ln w="9525" cap="flat" cmpd="sng" algn="ctr">
          <a:solidFill>
            <a:schemeClr val="accent6">
              <a:lumMod val="40000"/>
              <a:lumOff val="6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chemeClr val="accent6">
                  <a:lumMod val="50000"/>
                </a:schemeClr>
              </a:solidFill>
            </a:rPr>
            <a:t>Máquinas</a:t>
          </a:r>
        </a:p>
      </xdr:txBody>
    </xdr:sp>
    <xdr:clientData fPrintsWithSheet="0"/>
  </xdr:twoCellAnchor>
</xdr:wsDr>
</file>

<file path=xl/drawings/drawing3.xml><?xml version="1.0" encoding="utf-8"?>
<xdr:wsDr xmlns:xdr="http://schemas.openxmlformats.org/drawingml/2006/spreadsheetDrawing" xmlns:a="http://schemas.openxmlformats.org/drawingml/2006/main">
  <xdr:twoCellAnchor>
    <xdr:from>
      <xdr:col>10</xdr:col>
      <xdr:colOff>114300</xdr:colOff>
      <xdr:row>0</xdr:row>
      <xdr:rowOff>38100</xdr:rowOff>
    </xdr:from>
    <xdr:to>
      <xdr:col>17</xdr:col>
      <xdr:colOff>57150</xdr:colOff>
      <xdr:row>6</xdr:row>
      <xdr:rowOff>190500</xdr:rowOff>
    </xdr:to>
    <xdr:sp macro="" textlink="">
      <xdr:nvSpPr>
        <xdr:cNvPr id="2" name="Retângulo 1">
          <a:extLst>
            <a:ext uri="{FF2B5EF4-FFF2-40B4-BE49-F238E27FC236}">
              <a16:creationId xmlns:a16="http://schemas.microsoft.com/office/drawing/2014/main" id="{00000000-0008-0000-0200-000002000000}"/>
            </a:ext>
          </a:extLst>
        </xdr:cNvPr>
        <xdr:cNvSpPr/>
      </xdr:nvSpPr>
      <xdr:spPr>
        <a:xfrm>
          <a:off x="7515225" y="38100"/>
          <a:ext cx="4210050" cy="2266950"/>
        </a:xfrm>
        <a:prstGeom prst="rect">
          <a:avLst/>
        </a:prstGeom>
        <a:solidFill>
          <a:srgbClr val="FFFF00"/>
        </a:solidFill>
        <a:ln>
          <a:solidFill>
            <a:srgbClr val="FFFF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pt-BR" sz="1600" b="1" u="sng"/>
            <a:t>ATENÇÃO</a:t>
          </a:r>
          <a:r>
            <a:rPr lang="pt-BR" sz="1600"/>
            <a:t>! Você não poderia clicar no "Botão" </a:t>
          </a:r>
          <a:r>
            <a:rPr lang="pt-BR" sz="1600" baseline="0"/>
            <a:t>enquanto não mostrasse a Palavra "</a:t>
          </a:r>
          <a:r>
            <a:rPr lang="pt-BR" sz="1600" b="1" baseline="0"/>
            <a:t>Cadastrar</a:t>
          </a:r>
          <a:r>
            <a:rPr lang="pt-BR" sz="1600" baseline="0"/>
            <a:t>".</a:t>
          </a:r>
        </a:p>
        <a:p>
          <a:pPr algn="ctr"/>
          <a:r>
            <a:rPr lang="pt-BR" sz="1600" baseline="0">
              <a:solidFill>
                <a:srgbClr val="008000"/>
              </a:solidFill>
            </a:rPr>
            <a:t>Fique tranquilo que a Planilha não foi danificada</a:t>
          </a:r>
          <a:r>
            <a:rPr lang="pt-BR" sz="1600" baseline="0"/>
            <a:t>, mas </a:t>
          </a:r>
          <a:r>
            <a:rPr lang="pt-BR" sz="1600" b="1" baseline="0"/>
            <a:t>não altere nada nesta guia</a:t>
          </a:r>
          <a:r>
            <a:rPr lang="pt-BR" sz="1600" baseline="0"/>
            <a:t>, caso contrário a macro não funcionará corretamente.</a:t>
          </a:r>
        </a:p>
        <a:p>
          <a:pPr algn="ctr"/>
          <a:endParaRPr lang="pt-BR" sz="1600"/>
        </a:p>
      </xdr:txBody>
    </xdr:sp>
    <xdr:clientData/>
  </xdr:twoCellAnchor>
  <xdr:twoCellAnchor>
    <xdr:from>
      <xdr:col>11</xdr:col>
      <xdr:colOff>0</xdr:colOff>
      <xdr:row>4</xdr:row>
      <xdr:rowOff>171450</xdr:rowOff>
    </xdr:from>
    <xdr:to>
      <xdr:col>16</xdr:col>
      <xdr:colOff>19050</xdr:colOff>
      <xdr:row>6</xdr:row>
      <xdr:rowOff>133350</xdr:rowOff>
    </xdr:to>
    <xdr:sp macro="[0]!voltar_da_transf_para_seq_operacional" textlink="">
      <xdr:nvSpPr>
        <xdr:cNvPr id="3" name="Retângulo de cantos arredondados 2">
          <a:extLst>
            <a:ext uri="{FF2B5EF4-FFF2-40B4-BE49-F238E27FC236}">
              <a16:creationId xmlns:a16="http://schemas.microsoft.com/office/drawing/2014/main" id="{00000000-0008-0000-0200-000003000000}"/>
            </a:ext>
          </a:extLst>
        </xdr:cNvPr>
        <xdr:cNvSpPr/>
      </xdr:nvSpPr>
      <xdr:spPr>
        <a:xfrm>
          <a:off x="8010525" y="1828800"/>
          <a:ext cx="3067050" cy="419100"/>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pt-BR" sz="2000">
              <a:solidFill>
                <a:srgbClr val="0000CC"/>
              </a:solidFill>
              <a:latin typeface="+mn-lt"/>
              <a:ea typeface="+mn-ea"/>
              <a:cs typeface="+mn-cs"/>
            </a:rPr>
            <a:t>Clique</a:t>
          </a:r>
          <a:r>
            <a:rPr lang="pt-BR" sz="2000" baseline="0">
              <a:solidFill>
                <a:srgbClr val="0000CC"/>
              </a:solidFill>
              <a:latin typeface="+mn-lt"/>
              <a:ea typeface="+mn-ea"/>
              <a:cs typeface="+mn-cs"/>
            </a:rPr>
            <a:t> aqui para voltar.</a:t>
          </a:r>
          <a:endParaRPr lang="pt-BR" sz="2000">
            <a:solidFill>
              <a:srgbClr val="0000CC"/>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428626</xdr:colOff>
      <xdr:row>0</xdr:row>
      <xdr:rowOff>180975</xdr:rowOff>
    </xdr:from>
    <xdr:to>
      <xdr:col>10</xdr:col>
      <xdr:colOff>199987</xdr:colOff>
      <xdr:row>1</xdr:row>
      <xdr:rowOff>215025</xdr:rowOff>
    </xdr:to>
    <xdr:pic macro="[0]!tela_inteira">
      <xdr:nvPicPr>
        <xdr:cNvPr id="2" name="Imagem 1" descr="Botão tela inteira.jp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8658226" y="180975"/>
          <a:ext cx="380961" cy="396000"/>
        </a:xfrm>
        <a:prstGeom prst="rect">
          <a:avLst/>
        </a:prstGeom>
      </xdr:spPr>
    </xdr:pic>
    <xdr:clientData/>
  </xdr:twoCellAnchor>
  <xdr:twoCellAnchor editAs="oneCell">
    <xdr:from>
      <xdr:col>8</xdr:col>
      <xdr:colOff>209550</xdr:colOff>
      <xdr:row>1</xdr:row>
      <xdr:rowOff>76200</xdr:rowOff>
    </xdr:from>
    <xdr:to>
      <xdr:col>9</xdr:col>
      <xdr:colOff>355950</xdr:colOff>
      <xdr:row>2</xdr:row>
      <xdr:rowOff>126075</xdr:rowOff>
    </xdr:to>
    <xdr:sp macro="[0]!reexibir_linhas_em_seq_operacional" textlink="">
      <xdr:nvSpPr>
        <xdr:cNvPr id="3" name="Retângulo de cantos arredondados 2">
          <a:extLst>
            <a:ext uri="{FF2B5EF4-FFF2-40B4-BE49-F238E27FC236}">
              <a16:creationId xmlns:a16="http://schemas.microsoft.com/office/drawing/2014/main" id="{00000000-0008-0000-0300-000003000000}"/>
            </a:ext>
          </a:extLst>
        </xdr:cNvPr>
        <xdr:cNvSpPr/>
      </xdr:nvSpPr>
      <xdr:spPr bwMode="auto">
        <a:xfrm>
          <a:off x="7829550" y="438150"/>
          <a:ext cx="756000" cy="288000"/>
        </a:xfrm>
        <a:prstGeom prst="roundRect">
          <a:avLst/>
        </a:prstGeom>
        <a:solidFill>
          <a:schemeClr val="accent5">
            <a:lumMod val="40000"/>
            <a:lumOff val="60000"/>
          </a:schemeClr>
        </a:solidFill>
        <a:ln w="9525" cap="flat" cmpd="sng" algn="ctr">
          <a:solidFill>
            <a:schemeClr val="accent5">
              <a:lumMod val="40000"/>
              <a:lumOff val="6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800" b="1">
              <a:solidFill>
                <a:srgbClr val="0000FF"/>
              </a:solidFill>
              <a:latin typeface="Arial" pitchFamily="34" charset="0"/>
              <a:cs typeface="Arial" pitchFamily="34" charset="0"/>
            </a:rPr>
            <a:t>Reexibir linhas</a:t>
          </a:r>
        </a:p>
        <a:p>
          <a:pPr algn="ctr"/>
          <a:r>
            <a:rPr lang="pt-BR" sz="800" b="1">
              <a:solidFill>
                <a:srgbClr val="0000FF"/>
              </a:solidFill>
              <a:latin typeface="Arial" pitchFamily="34" charset="0"/>
              <a:cs typeface="Arial" pitchFamily="34" charset="0"/>
            </a:rPr>
            <a:t>em branco</a:t>
          </a:r>
        </a:p>
      </xdr:txBody>
    </xdr:sp>
    <xdr:clientData fPrintsWithSheet="0"/>
  </xdr:twoCellAnchor>
  <xdr:twoCellAnchor editAs="oneCell">
    <xdr:from>
      <xdr:col>8</xdr:col>
      <xdr:colOff>200025</xdr:colOff>
      <xdr:row>0</xdr:row>
      <xdr:rowOff>66675</xdr:rowOff>
    </xdr:from>
    <xdr:to>
      <xdr:col>9</xdr:col>
      <xdr:colOff>346425</xdr:colOff>
      <xdr:row>0</xdr:row>
      <xdr:rowOff>354675</xdr:rowOff>
    </xdr:to>
    <xdr:sp macro="[0]!ocultar_linhas_em_seq_operacional" textlink="">
      <xdr:nvSpPr>
        <xdr:cNvPr id="4" name="Retângulo de cantos arredondados 3">
          <a:extLst>
            <a:ext uri="{FF2B5EF4-FFF2-40B4-BE49-F238E27FC236}">
              <a16:creationId xmlns:a16="http://schemas.microsoft.com/office/drawing/2014/main" id="{00000000-0008-0000-0300-000004000000}"/>
            </a:ext>
          </a:extLst>
        </xdr:cNvPr>
        <xdr:cNvSpPr/>
      </xdr:nvSpPr>
      <xdr:spPr bwMode="auto">
        <a:xfrm>
          <a:off x="7820025" y="66675"/>
          <a:ext cx="756000" cy="288000"/>
        </a:xfrm>
        <a:prstGeom prst="roundRect">
          <a:avLst/>
        </a:prstGeom>
        <a:solidFill>
          <a:schemeClr val="accent5">
            <a:lumMod val="40000"/>
            <a:lumOff val="60000"/>
          </a:schemeClr>
        </a:solidFill>
        <a:ln w="9525" cap="flat" cmpd="sng" algn="ctr">
          <a:solidFill>
            <a:schemeClr val="accent5">
              <a:lumMod val="40000"/>
              <a:lumOff val="6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800" b="1">
              <a:solidFill>
                <a:srgbClr val="FF0000"/>
              </a:solidFill>
              <a:latin typeface="Arial" pitchFamily="34" charset="0"/>
              <a:cs typeface="Arial" pitchFamily="34" charset="0"/>
            </a:rPr>
            <a:t>Ocultar linhas</a:t>
          </a:r>
        </a:p>
        <a:p>
          <a:pPr algn="ctr"/>
          <a:r>
            <a:rPr lang="pt-BR" sz="800" b="1">
              <a:solidFill>
                <a:srgbClr val="FF0000"/>
              </a:solidFill>
              <a:latin typeface="Arial" pitchFamily="34" charset="0"/>
              <a:cs typeface="Arial" pitchFamily="34" charset="0"/>
            </a:rPr>
            <a:t>em branco</a:t>
          </a:r>
        </a:p>
      </xdr:txBody>
    </xdr:sp>
    <xdr:clientData fPrintsWithSheet="0"/>
  </xdr:twoCellAnchor>
  <xdr:twoCellAnchor editAs="oneCell">
    <xdr:from>
      <xdr:col>7</xdr:col>
      <xdr:colOff>57150</xdr:colOff>
      <xdr:row>0</xdr:row>
      <xdr:rowOff>85725</xdr:rowOff>
    </xdr:from>
    <xdr:to>
      <xdr:col>8</xdr:col>
      <xdr:colOff>59550</xdr:colOff>
      <xdr:row>0</xdr:row>
      <xdr:rowOff>337725</xdr:rowOff>
    </xdr:to>
    <xdr:sp macro="[0]!limpar_consulta_seq_operacional" textlink="">
      <xdr:nvSpPr>
        <xdr:cNvPr id="5" name="Retângulo de cantos arredondados 4">
          <a:extLst>
            <a:ext uri="{FF2B5EF4-FFF2-40B4-BE49-F238E27FC236}">
              <a16:creationId xmlns:a16="http://schemas.microsoft.com/office/drawing/2014/main" id="{00000000-0008-0000-0300-000005000000}"/>
            </a:ext>
          </a:extLst>
        </xdr:cNvPr>
        <xdr:cNvSpPr>
          <a:spLocks/>
        </xdr:cNvSpPr>
      </xdr:nvSpPr>
      <xdr:spPr>
        <a:xfrm>
          <a:off x="7067550" y="85725"/>
          <a:ext cx="612000" cy="252000"/>
        </a:xfrm>
        <a:prstGeom prst="roundRect">
          <a:avLst/>
        </a:prstGeom>
        <a:solidFill>
          <a:srgbClr val="FF0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5"/>
        </a:lnRef>
        <a:fillRef idx="3">
          <a:schemeClr val="accent5"/>
        </a:fillRef>
        <a:effectRef idx="3">
          <a:schemeClr val="accent5"/>
        </a:effectRef>
        <a:fontRef idx="minor">
          <a:schemeClr val="lt1"/>
        </a:fontRef>
      </xdr:style>
      <xdr:txBody>
        <a:bodyPr vertOverflow="clip" rtlCol="0" anchor="ctr"/>
        <a:lstStyle/>
        <a:p>
          <a:pPr algn="ctr"/>
          <a:r>
            <a:rPr lang="pt-BR" sz="1000" b="1">
              <a:latin typeface="+mn-lt"/>
              <a:cs typeface="Arial" pitchFamily="34" charset="0"/>
            </a:rPr>
            <a:t>Limpar</a:t>
          </a:r>
        </a:p>
      </xdr:txBody>
    </xdr:sp>
    <xdr:clientData fPrintsWithSheet="0"/>
  </xdr:twoCellAnchor>
  <xdr:twoCellAnchor editAs="oneCell">
    <xdr:from>
      <xdr:col>6</xdr:col>
      <xdr:colOff>123825</xdr:colOff>
      <xdr:row>0</xdr:row>
      <xdr:rowOff>66674</xdr:rowOff>
    </xdr:from>
    <xdr:to>
      <xdr:col>6</xdr:col>
      <xdr:colOff>879825</xdr:colOff>
      <xdr:row>0</xdr:row>
      <xdr:rowOff>354674</xdr:rowOff>
    </xdr:to>
    <xdr:sp macro="[0]!ir_para_menu" textlink="">
      <xdr:nvSpPr>
        <xdr:cNvPr id="6" name="Retângulo de cantos arredondados 5">
          <a:extLst>
            <a:ext uri="{FF2B5EF4-FFF2-40B4-BE49-F238E27FC236}">
              <a16:creationId xmlns:a16="http://schemas.microsoft.com/office/drawing/2014/main" id="{00000000-0008-0000-0300-000006000000}"/>
            </a:ext>
          </a:extLst>
        </xdr:cNvPr>
        <xdr:cNvSpPr/>
      </xdr:nvSpPr>
      <xdr:spPr bwMode="auto">
        <a:xfrm>
          <a:off x="6153150" y="66674"/>
          <a:ext cx="756000" cy="288000"/>
        </a:xfrm>
        <a:prstGeom prst="roundRect">
          <a:avLst/>
        </a:prstGeom>
        <a:solidFill>
          <a:srgbClr val="00B0F0"/>
        </a:solidFill>
        <a:ln w="9525" cap="flat" cmpd="sng" algn="ctr">
          <a:solidFill>
            <a:srgbClr val="00B0F0"/>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rgbClr val="0000CC"/>
              </a:solidFill>
              <a:latin typeface="Arial" pitchFamily="34" charset="0"/>
              <a:cs typeface="Arial" pitchFamily="34" charset="0"/>
            </a:rPr>
            <a:t>Menu</a:t>
          </a:r>
          <a:endParaRPr lang="pt-BR" sz="1000" b="1">
            <a:solidFill>
              <a:srgbClr val="0000CC"/>
            </a:solidFill>
            <a:latin typeface="Arial" pitchFamily="34" charset="0"/>
            <a:ea typeface="+mn-ea"/>
            <a:cs typeface="Arial" pitchFamily="34" charset="0"/>
          </a:endParaRPr>
        </a:p>
      </xdr:txBody>
    </xdr:sp>
    <xdr:clientData fPrintsWithSheet="0"/>
  </xdr:twoCellAnchor>
  <xdr:twoCellAnchor editAs="oneCell">
    <xdr:from>
      <xdr:col>6</xdr:col>
      <xdr:colOff>962025</xdr:colOff>
      <xdr:row>1</xdr:row>
      <xdr:rowOff>76200</xdr:rowOff>
    </xdr:from>
    <xdr:to>
      <xdr:col>8</xdr:col>
      <xdr:colOff>127350</xdr:colOff>
      <xdr:row>2</xdr:row>
      <xdr:rowOff>126075</xdr:rowOff>
    </xdr:to>
    <xdr:sp macro="[0]!imprimir_seq_operacional" textlink="">
      <xdr:nvSpPr>
        <xdr:cNvPr id="7" name="Retângulo de cantos arredondados 6">
          <a:extLst>
            <a:ext uri="{FF2B5EF4-FFF2-40B4-BE49-F238E27FC236}">
              <a16:creationId xmlns:a16="http://schemas.microsoft.com/office/drawing/2014/main" id="{00000000-0008-0000-0300-000007000000}"/>
            </a:ext>
          </a:extLst>
        </xdr:cNvPr>
        <xdr:cNvSpPr/>
      </xdr:nvSpPr>
      <xdr:spPr bwMode="auto">
        <a:xfrm>
          <a:off x="6991350" y="438150"/>
          <a:ext cx="756000" cy="288000"/>
        </a:xfrm>
        <a:prstGeom prst="roundRect">
          <a:avLst/>
        </a:prstGeom>
        <a:solidFill>
          <a:srgbClr val="00CC00"/>
        </a:solidFill>
        <a:ln w="9525" cap="flat" cmpd="sng" algn="ctr">
          <a:solidFill>
            <a:srgbClr val="00CC00"/>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chemeClr val="bg1"/>
              </a:solidFill>
            </a:rPr>
            <a:t>Imprimir </a:t>
          </a:r>
        </a:p>
      </xdr:txBody>
    </xdr:sp>
    <xdr:clientData fPrintsWithSheet="0"/>
  </xdr:twoCellAnchor>
  <xdr:twoCellAnchor>
    <xdr:from>
      <xdr:col>2</xdr:col>
      <xdr:colOff>9525</xdr:colOff>
      <xdr:row>1</xdr:row>
      <xdr:rowOff>19050</xdr:rowOff>
    </xdr:from>
    <xdr:to>
      <xdr:col>2</xdr:col>
      <xdr:colOff>513525</xdr:colOff>
      <xdr:row>1</xdr:row>
      <xdr:rowOff>235050</xdr:rowOff>
    </xdr:to>
    <xdr:sp macro="" textlink="">
      <xdr:nvSpPr>
        <xdr:cNvPr id="10" name="Retângulo 9">
          <a:extLst>
            <a:ext uri="{FF2B5EF4-FFF2-40B4-BE49-F238E27FC236}">
              <a16:creationId xmlns:a16="http://schemas.microsoft.com/office/drawing/2014/main" id="{00000000-0008-0000-0300-00000A000000}"/>
            </a:ext>
          </a:extLst>
        </xdr:cNvPr>
        <xdr:cNvSpPr/>
      </xdr:nvSpPr>
      <xdr:spPr>
        <a:xfrm>
          <a:off x="485775" y="381000"/>
          <a:ext cx="504000" cy="216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r>
            <a:rPr lang="pt-BR" sz="1200" b="1">
              <a:solidFill>
                <a:sysClr val="windowText" lastClr="000000"/>
              </a:solidFill>
            </a:rPr>
            <a:t>Ref.:</a:t>
          </a:r>
        </a:p>
      </xdr:txBody>
    </xdr:sp>
    <xdr:clientData/>
  </xdr:twoCellAnchor>
  <xdr:twoCellAnchor>
    <xdr:from>
      <xdr:col>1</xdr:col>
      <xdr:colOff>342900</xdr:colOff>
      <xdr:row>2</xdr:row>
      <xdr:rowOff>9525</xdr:rowOff>
    </xdr:from>
    <xdr:to>
      <xdr:col>2</xdr:col>
      <xdr:colOff>524175</xdr:colOff>
      <xdr:row>2</xdr:row>
      <xdr:rowOff>225525</xdr:rowOff>
    </xdr:to>
    <xdr:sp macro="" textlink="">
      <xdr:nvSpPr>
        <xdr:cNvPr id="11" name="Retângulo 10">
          <a:extLst>
            <a:ext uri="{FF2B5EF4-FFF2-40B4-BE49-F238E27FC236}">
              <a16:creationId xmlns:a16="http://schemas.microsoft.com/office/drawing/2014/main" id="{00000000-0008-0000-0300-00000B000000}"/>
            </a:ext>
          </a:extLst>
        </xdr:cNvPr>
        <xdr:cNvSpPr/>
      </xdr:nvSpPr>
      <xdr:spPr>
        <a:xfrm>
          <a:off x="352425" y="609600"/>
          <a:ext cx="648000" cy="216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r>
            <a:rPr lang="pt-BR" sz="1100" b="1">
              <a:solidFill>
                <a:sysClr val="windowText" lastClr="000000"/>
              </a:solidFill>
            </a:rPr>
            <a:t>Descr.:</a:t>
          </a:r>
        </a:p>
      </xdr:txBody>
    </xdr:sp>
    <xdr:clientData/>
  </xdr:twoCellAnchor>
  <xdr:twoCellAnchor>
    <xdr:from>
      <xdr:col>3</xdr:col>
      <xdr:colOff>95251</xdr:colOff>
      <xdr:row>0</xdr:row>
      <xdr:rowOff>352424</xdr:rowOff>
    </xdr:from>
    <xdr:to>
      <xdr:col>5</xdr:col>
      <xdr:colOff>11251</xdr:colOff>
      <xdr:row>2</xdr:row>
      <xdr:rowOff>4349</xdr:rowOff>
    </xdr:to>
    <xdr:sp macro="" textlink="$N$1">
      <xdr:nvSpPr>
        <xdr:cNvPr id="12" name="Retângulo 11">
          <a:extLst>
            <a:ext uri="{FF2B5EF4-FFF2-40B4-BE49-F238E27FC236}">
              <a16:creationId xmlns:a16="http://schemas.microsoft.com/office/drawing/2014/main" id="{00000000-0008-0000-0300-00000C000000}"/>
            </a:ext>
          </a:extLst>
        </xdr:cNvPr>
        <xdr:cNvSpPr/>
      </xdr:nvSpPr>
      <xdr:spPr>
        <a:xfrm>
          <a:off x="3838576" y="352424"/>
          <a:ext cx="1440000" cy="2520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r"/>
          <a:fld id="{9896456B-B910-4D45-81A2-6997A2A72822}" type="TxLink">
            <a:rPr lang="en-US" sz="1400" b="1" i="0" u="none" strike="noStrike">
              <a:solidFill>
                <a:srgbClr val="FF0000"/>
              </a:solidFill>
              <a:latin typeface="Calibri"/>
              <a:cs typeface="Calibri"/>
            </a:rPr>
            <a:pPr algn="r"/>
            <a:t>Não cadastrada.</a:t>
          </a:fld>
          <a:endParaRPr lang="pt-BR" sz="1400" b="1">
            <a:solidFill>
              <a:srgbClr val="FF0000"/>
            </a:solidFill>
          </a:endParaRPr>
        </a:p>
      </xdr:txBody>
    </xdr:sp>
    <xdr:clientData/>
  </xdr:twoCellAnchor>
  <xdr:twoCellAnchor editAs="oneCell">
    <xdr:from>
      <xdr:col>6</xdr:col>
      <xdr:colOff>123825</xdr:colOff>
      <xdr:row>1</xdr:row>
      <xdr:rowOff>76200</xdr:rowOff>
    </xdr:from>
    <xdr:to>
      <xdr:col>6</xdr:col>
      <xdr:colOff>879825</xdr:colOff>
      <xdr:row>2</xdr:row>
      <xdr:rowOff>126075</xdr:rowOff>
    </xdr:to>
    <xdr:sp macro="[0]!ir_para_Seq_Operacional" textlink="">
      <xdr:nvSpPr>
        <xdr:cNvPr id="13" name="Retângulo de cantos arredondados 12">
          <a:extLst>
            <a:ext uri="{FF2B5EF4-FFF2-40B4-BE49-F238E27FC236}">
              <a16:creationId xmlns:a16="http://schemas.microsoft.com/office/drawing/2014/main" id="{00000000-0008-0000-0300-00000D000000}"/>
            </a:ext>
          </a:extLst>
        </xdr:cNvPr>
        <xdr:cNvSpPr/>
      </xdr:nvSpPr>
      <xdr:spPr bwMode="auto">
        <a:xfrm>
          <a:off x="6153150" y="438150"/>
          <a:ext cx="756000" cy="288000"/>
        </a:xfrm>
        <a:prstGeom prst="roundRect">
          <a:avLst/>
        </a:prstGeom>
        <a:solidFill>
          <a:schemeClr val="accent4">
            <a:lumMod val="60000"/>
            <a:lumOff val="40000"/>
          </a:schemeClr>
        </a:solidFill>
        <a:ln w="9525" cap="flat" cmpd="sng" algn="ctr">
          <a:solidFill>
            <a:schemeClr val="accent4">
              <a:lumMod val="60000"/>
              <a:lumOff val="4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chemeClr val="accent4">
                  <a:lumMod val="75000"/>
                </a:schemeClr>
              </a:solidFill>
            </a:rPr>
            <a:t>Voltar</a:t>
          </a:r>
        </a:p>
      </xdr:txBody>
    </xdr:sp>
    <xdr:clientData fPrintsWithSheet="0"/>
  </xdr:twoCellAnchor>
  <xdr:twoCellAnchor editAs="oneCell">
    <xdr:from>
      <xdr:col>12</xdr:col>
      <xdr:colOff>476250</xdr:colOff>
      <xdr:row>0</xdr:row>
      <xdr:rowOff>66675</xdr:rowOff>
    </xdr:from>
    <xdr:to>
      <xdr:col>12</xdr:col>
      <xdr:colOff>1232250</xdr:colOff>
      <xdr:row>0</xdr:row>
      <xdr:rowOff>354675</xdr:rowOff>
    </xdr:to>
    <xdr:sp macro="[0]!ir_para_BD_da_seq_op" textlink="">
      <xdr:nvSpPr>
        <xdr:cNvPr id="14" name="Retângulo de cantos arredondados 13">
          <a:extLst>
            <a:ext uri="{FF2B5EF4-FFF2-40B4-BE49-F238E27FC236}">
              <a16:creationId xmlns:a16="http://schemas.microsoft.com/office/drawing/2014/main" id="{00000000-0008-0000-0300-00000E000000}"/>
            </a:ext>
          </a:extLst>
        </xdr:cNvPr>
        <xdr:cNvSpPr/>
      </xdr:nvSpPr>
      <xdr:spPr bwMode="auto">
        <a:xfrm>
          <a:off x="10534650" y="66675"/>
          <a:ext cx="756000" cy="288000"/>
        </a:xfrm>
        <a:prstGeom prst="roundRect">
          <a:avLst/>
        </a:prstGeom>
        <a:solidFill>
          <a:schemeClr val="accent2">
            <a:lumMod val="50000"/>
          </a:schemeClr>
        </a:solidFill>
        <a:ln w="9525" cap="flat" cmpd="sng" algn="ctr">
          <a:solidFill>
            <a:schemeClr val="accent2">
              <a:lumMod val="5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900" b="1">
              <a:solidFill>
                <a:schemeClr val="accent6">
                  <a:lumMod val="20000"/>
                  <a:lumOff val="80000"/>
                </a:schemeClr>
              </a:solidFill>
            </a:rPr>
            <a:t>BD Todas Seq.</a:t>
          </a:r>
        </a:p>
      </xdr:txBody>
    </xdr:sp>
    <xdr:clientData fPrintsWithSheet="0"/>
  </xdr:twoCellAnchor>
</xdr:wsDr>
</file>

<file path=xl/drawings/drawing5.xml><?xml version="1.0" encoding="utf-8"?>
<xdr:wsDr xmlns:xdr="http://schemas.openxmlformats.org/drawingml/2006/spreadsheetDrawing" xmlns:a="http://schemas.openxmlformats.org/drawingml/2006/main">
  <xdr:twoCellAnchor editAs="oneCell">
    <xdr:from>
      <xdr:col>3</xdr:col>
      <xdr:colOff>2124075</xdr:colOff>
      <xdr:row>0</xdr:row>
      <xdr:rowOff>57150</xdr:rowOff>
    </xdr:from>
    <xdr:to>
      <xdr:col>3</xdr:col>
      <xdr:colOff>2916075</xdr:colOff>
      <xdr:row>0</xdr:row>
      <xdr:rowOff>237150</xdr:rowOff>
    </xdr:to>
    <xdr:sp macro="[0]!desproteger_planilha" textlink="">
      <xdr:nvSpPr>
        <xdr:cNvPr id="6" name="Retângulo de cantos arredondados 5">
          <a:extLst>
            <a:ext uri="{FF2B5EF4-FFF2-40B4-BE49-F238E27FC236}">
              <a16:creationId xmlns:a16="http://schemas.microsoft.com/office/drawing/2014/main" id="{00000000-0008-0000-0400-000006000000}"/>
            </a:ext>
          </a:extLst>
        </xdr:cNvPr>
        <xdr:cNvSpPr/>
      </xdr:nvSpPr>
      <xdr:spPr>
        <a:xfrm>
          <a:off x="3448050" y="57150"/>
          <a:ext cx="792000" cy="180000"/>
        </a:xfrm>
        <a:prstGeom prst="roundRect">
          <a:avLst/>
        </a:prstGeom>
        <a:solidFill>
          <a:srgbClr val="FF0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BR" sz="900" b="1"/>
            <a:t>Desproteger</a:t>
          </a:r>
        </a:p>
      </xdr:txBody>
    </xdr:sp>
    <xdr:clientData fPrintsWithSheet="0"/>
  </xdr:twoCellAnchor>
  <xdr:twoCellAnchor editAs="oneCell">
    <xdr:from>
      <xdr:col>3</xdr:col>
      <xdr:colOff>438150</xdr:colOff>
      <xdr:row>0</xdr:row>
      <xdr:rowOff>57150</xdr:rowOff>
    </xdr:from>
    <xdr:to>
      <xdr:col>3</xdr:col>
      <xdr:colOff>1194150</xdr:colOff>
      <xdr:row>0</xdr:row>
      <xdr:rowOff>345150</xdr:rowOff>
    </xdr:to>
    <xdr:sp macro="[0]!ir_de_BD_seq_op_para_menu" textlink="">
      <xdr:nvSpPr>
        <xdr:cNvPr id="8" name="Retângulo de cantos arredondados 7">
          <a:extLst>
            <a:ext uri="{FF2B5EF4-FFF2-40B4-BE49-F238E27FC236}">
              <a16:creationId xmlns:a16="http://schemas.microsoft.com/office/drawing/2014/main" id="{00000000-0008-0000-0400-000008000000}"/>
            </a:ext>
          </a:extLst>
        </xdr:cNvPr>
        <xdr:cNvSpPr/>
      </xdr:nvSpPr>
      <xdr:spPr bwMode="auto">
        <a:xfrm>
          <a:off x="1762125" y="57150"/>
          <a:ext cx="756000" cy="288000"/>
        </a:xfrm>
        <a:prstGeom prst="roundRect">
          <a:avLst/>
        </a:prstGeom>
        <a:solidFill>
          <a:srgbClr val="00B0F0"/>
        </a:solidFill>
        <a:ln w="9525" cap="flat" cmpd="sng" algn="ctr">
          <a:solidFill>
            <a:srgbClr val="00B0F0"/>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100" b="1">
              <a:solidFill>
                <a:srgbClr val="0000CC"/>
              </a:solidFill>
              <a:latin typeface="Arial" pitchFamily="34" charset="0"/>
              <a:cs typeface="Arial" pitchFamily="34" charset="0"/>
            </a:rPr>
            <a:t>Menu</a:t>
          </a:r>
          <a:endParaRPr lang="pt-BR" sz="1100" b="1">
            <a:solidFill>
              <a:srgbClr val="0000CC"/>
            </a:solidFill>
            <a:latin typeface="Arial" pitchFamily="34" charset="0"/>
            <a:ea typeface="+mn-ea"/>
            <a:cs typeface="Arial" pitchFamily="34" charset="0"/>
          </a:endParaRPr>
        </a:p>
      </xdr:txBody>
    </xdr:sp>
    <xdr:clientData fPrintsWithSheet="0"/>
  </xdr:twoCellAnchor>
  <xdr:twoCellAnchor editAs="oneCell">
    <xdr:from>
      <xdr:col>3</xdr:col>
      <xdr:colOff>1276350</xdr:colOff>
      <xdr:row>0</xdr:row>
      <xdr:rowOff>57150</xdr:rowOff>
    </xdr:from>
    <xdr:to>
      <xdr:col>3</xdr:col>
      <xdr:colOff>2032350</xdr:colOff>
      <xdr:row>0</xdr:row>
      <xdr:rowOff>345150</xdr:rowOff>
    </xdr:to>
    <xdr:sp macro="[0]!limpar_filtro_BD_seq_op" textlink="">
      <xdr:nvSpPr>
        <xdr:cNvPr id="9" name="Retângulo de cantos arredondados 8">
          <a:extLst>
            <a:ext uri="{FF2B5EF4-FFF2-40B4-BE49-F238E27FC236}">
              <a16:creationId xmlns:a16="http://schemas.microsoft.com/office/drawing/2014/main" id="{00000000-0008-0000-0400-000009000000}"/>
            </a:ext>
          </a:extLst>
        </xdr:cNvPr>
        <xdr:cNvSpPr/>
      </xdr:nvSpPr>
      <xdr:spPr bwMode="auto">
        <a:xfrm>
          <a:off x="2600325" y="57150"/>
          <a:ext cx="756000" cy="288000"/>
        </a:xfrm>
        <a:prstGeom prst="roundRect">
          <a:avLst/>
        </a:prstGeom>
        <a:solidFill>
          <a:schemeClr val="bg1"/>
        </a:solidFill>
        <a:ln w="9525" cap="flat" cmpd="sng" algn="ctr">
          <a:solidFill>
            <a:schemeClr val="bg1"/>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rgbClr val="FF0000"/>
              </a:solidFill>
            </a:rPr>
            <a:t>Limpar Filtro</a:t>
          </a:r>
        </a:p>
      </xdr:txBody>
    </xdr:sp>
    <xdr:clientData fPrintsWithSheet="0"/>
  </xdr:twoCellAnchor>
  <xdr:twoCellAnchor editAs="oneCell">
    <xdr:from>
      <xdr:col>1</xdr:col>
      <xdr:colOff>419100</xdr:colOff>
      <xdr:row>0</xdr:row>
      <xdr:rowOff>57150</xdr:rowOff>
    </xdr:from>
    <xdr:to>
      <xdr:col>3</xdr:col>
      <xdr:colOff>355950</xdr:colOff>
      <xdr:row>0</xdr:row>
      <xdr:rowOff>345150</xdr:rowOff>
    </xdr:to>
    <xdr:sp macro="[0]!ir_de_BD_seq_op_para_seq_operacional" textlink="">
      <xdr:nvSpPr>
        <xdr:cNvPr id="11" name="Retângulo de cantos arredondados 10">
          <a:extLst>
            <a:ext uri="{FF2B5EF4-FFF2-40B4-BE49-F238E27FC236}">
              <a16:creationId xmlns:a16="http://schemas.microsoft.com/office/drawing/2014/main" id="{00000000-0008-0000-0400-00000B000000}"/>
            </a:ext>
          </a:extLst>
        </xdr:cNvPr>
        <xdr:cNvSpPr/>
      </xdr:nvSpPr>
      <xdr:spPr bwMode="auto">
        <a:xfrm>
          <a:off x="923925" y="57150"/>
          <a:ext cx="756000" cy="288000"/>
        </a:xfrm>
        <a:prstGeom prst="roundRect">
          <a:avLst/>
        </a:prstGeom>
        <a:solidFill>
          <a:schemeClr val="bg1">
            <a:lumMod val="75000"/>
          </a:schemeClr>
        </a:solidFill>
        <a:ln w="9525" cap="flat" cmpd="sng" algn="ctr">
          <a:solidFill>
            <a:schemeClr val="bg1">
              <a:lumMod val="75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100" b="1">
              <a:solidFill>
                <a:schemeClr val="tx1">
                  <a:lumMod val="65000"/>
                  <a:lumOff val="35000"/>
                </a:schemeClr>
              </a:solidFill>
            </a:rPr>
            <a:t>Seq.  Op.</a:t>
          </a:r>
        </a:p>
      </xdr:txBody>
    </xdr:sp>
    <xdr:clientData fPrintsWithSheet="0"/>
  </xdr:twoCellAnchor>
  <xdr:twoCellAnchor editAs="oneCell">
    <xdr:from>
      <xdr:col>0</xdr:col>
      <xdr:colOff>85725</xdr:colOff>
      <xdr:row>0</xdr:row>
      <xdr:rowOff>57150</xdr:rowOff>
    </xdr:from>
    <xdr:to>
      <xdr:col>1</xdr:col>
      <xdr:colOff>336900</xdr:colOff>
      <xdr:row>0</xdr:row>
      <xdr:rowOff>345150</xdr:rowOff>
    </xdr:to>
    <xdr:sp macro="[0]!ir_de_BD_seq_op_para_consulta_seq_operacional" textlink="">
      <xdr:nvSpPr>
        <xdr:cNvPr id="12" name="Retângulo de cantos arredondados 11">
          <a:extLst>
            <a:ext uri="{FF2B5EF4-FFF2-40B4-BE49-F238E27FC236}">
              <a16:creationId xmlns:a16="http://schemas.microsoft.com/office/drawing/2014/main" id="{00000000-0008-0000-0400-00000C000000}"/>
            </a:ext>
          </a:extLst>
        </xdr:cNvPr>
        <xdr:cNvSpPr/>
      </xdr:nvSpPr>
      <xdr:spPr bwMode="auto">
        <a:xfrm>
          <a:off x="85725" y="57150"/>
          <a:ext cx="756000" cy="288000"/>
        </a:xfrm>
        <a:prstGeom prst="roundRect">
          <a:avLst/>
        </a:prstGeom>
        <a:solidFill>
          <a:schemeClr val="accent4"/>
        </a:solidFill>
        <a:ln w="9525" cap="flat" cmpd="sng" algn="ctr">
          <a:solidFill>
            <a:schemeClr val="accent4"/>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chemeClr val="bg1"/>
              </a:solidFill>
            </a:rPr>
            <a:t>Consultar</a:t>
          </a:r>
        </a:p>
      </xdr:txBody>
    </xdr:sp>
    <xdr:clientData fPrintsWithSheet="0"/>
  </xdr:twoCellAnchor>
  <xdr:twoCellAnchor editAs="oneCell">
    <xdr:from>
      <xdr:col>10</xdr:col>
      <xdr:colOff>47625</xdr:colOff>
      <xdr:row>0</xdr:row>
      <xdr:rowOff>38100</xdr:rowOff>
    </xdr:from>
    <xdr:to>
      <xdr:col>16</xdr:col>
      <xdr:colOff>98025</xdr:colOff>
      <xdr:row>0</xdr:row>
      <xdr:rowOff>614100</xdr:rowOff>
    </xdr:to>
    <xdr:sp macro="" textlink="">
      <xdr:nvSpPr>
        <xdr:cNvPr id="7" name="Retângulo 6">
          <a:extLst>
            <a:ext uri="{FF2B5EF4-FFF2-40B4-BE49-F238E27FC236}">
              <a16:creationId xmlns:a16="http://schemas.microsoft.com/office/drawing/2014/main" id="{00000000-0008-0000-0400-000007000000}"/>
            </a:ext>
          </a:extLst>
        </xdr:cNvPr>
        <xdr:cNvSpPr/>
      </xdr:nvSpPr>
      <xdr:spPr>
        <a:xfrm>
          <a:off x="7581900" y="38100"/>
          <a:ext cx="3708000" cy="576000"/>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pt-BR" sz="1400" b="1">
              <a:solidFill>
                <a:sysClr val="windowText" lastClr="000000"/>
              </a:solidFill>
            </a:rPr>
            <a:t>  Banco de Dados das Sequências Operacionais.</a:t>
          </a:r>
        </a:p>
      </xdr:txBody>
    </xdr:sp>
    <xdr:clientData fPrintsWithSheet="0"/>
  </xdr:twoCellAnchor>
</xdr:wsDr>
</file>

<file path=xl/drawings/drawing6.xml><?xml version="1.0" encoding="utf-8"?>
<xdr:wsDr xmlns:xdr="http://schemas.openxmlformats.org/drawingml/2006/spreadsheetDrawing" xmlns:a="http://schemas.openxmlformats.org/drawingml/2006/main">
  <xdr:twoCellAnchor editAs="oneCell">
    <xdr:from>
      <xdr:col>2</xdr:col>
      <xdr:colOff>1104900</xdr:colOff>
      <xdr:row>0</xdr:row>
      <xdr:rowOff>47623</xdr:rowOff>
    </xdr:from>
    <xdr:to>
      <xdr:col>5</xdr:col>
      <xdr:colOff>530850</xdr:colOff>
      <xdr:row>1</xdr:row>
      <xdr:rowOff>95250</xdr:rowOff>
    </xdr:to>
    <xdr:sp macro="" textlink="">
      <xdr:nvSpPr>
        <xdr:cNvPr id="2" name="Retângulo 1">
          <a:extLst>
            <a:ext uri="{FF2B5EF4-FFF2-40B4-BE49-F238E27FC236}">
              <a16:creationId xmlns:a16="http://schemas.microsoft.com/office/drawing/2014/main" id="{00000000-0008-0000-0500-000002000000}"/>
            </a:ext>
          </a:extLst>
        </xdr:cNvPr>
        <xdr:cNvSpPr/>
      </xdr:nvSpPr>
      <xdr:spPr>
        <a:xfrm>
          <a:off x="1495425" y="47623"/>
          <a:ext cx="3636000" cy="238127"/>
        </a:xfrm>
        <a:prstGeom prst="rect">
          <a:avLst/>
        </a:prstGeom>
        <a:solidFill>
          <a:schemeClr val="bg1">
            <a:lumMod val="85000"/>
          </a:schemeClr>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pt-BR" sz="1300" b="1">
              <a:solidFill>
                <a:sysClr val="windowText" lastClr="000000"/>
              </a:solidFill>
            </a:rPr>
            <a:t>FICHA</a:t>
          </a:r>
          <a:r>
            <a:rPr lang="pt-BR" sz="1300" b="1" baseline="0">
              <a:solidFill>
                <a:sysClr val="windowText" lastClr="000000"/>
              </a:solidFill>
            </a:rPr>
            <a:t>  </a:t>
          </a:r>
          <a:r>
            <a:rPr lang="pt-BR" sz="1300" b="1">
              <a:solidFill>
                <a:sysClr val="windowText" lastClr="000000"/>
              </a:solidFill>
            </a:rPr>
            <a:t>ACOMPANHAMENTO DE</a:t>
          </a:r>
          <a:r>
            <a:rPr lang="pt-BR" sz="1300" b="1" baseline="0">
              <a:solidFill>
                <a:sysClr val="windowText" lastClr="000000"/>
              </a:solidFill>
            </a:rPr>
            <a:t> </a:t>
          </a:r>
          <a:r>
            <a:rPr lang="pt-BR" sz="1300" b="1">
              <a:solidFill>
                <a:sysClr val="windowText" lastClr="000000"/>
              </a:solidFill>
            </a:rPr>
            <a:t>PACOTE </a:t>
          </a:r>
        </a:p>
      </xdr:txBody>
    </xdr:sp>
    <xdr:clientData/>
  </xdr:twoCellAnchor>
  <xdr:twoCellAnchor editAs="oneCell">
    <xdr:from>
      <xdr:col>1</xdr:col>
      <xdr:colOff>114300</xdr:colOff>
      <xdr:row>0</xdr:row>
      <xdr:rowOff>66675</xdr:rowOff>
    </xdr:from>
    <xdr:to>
      <xdr:col>2</xdr:col>
      <xdr:colOff>1029300</xdr:colOff>
      <xdr:row>1</xdr:row>
      <xdr:rowOff>95251</xdr:rowOff>
    </xdr:to>
    <xdr:sp macro="" textlink="$S$9">
      <xdr:nvSpPr>
        <xdr:cNvPr id="3" name="Retângulo 2">
          <a:extLst>
            <a:ext uri="{FF2B5EF4-FFF2-40B4-BE49-F238E27FC236}">
              <a16:creationId xmlns:a16="http://schemas.microsoft.com/office/drawing/2014/main" id="{00000000-0008-0000-0500-000003000000}"/>
            </a:ext>
          </a:extLst>
        </xdr:cNvPr>
        <xdr:cNvSpPr/>
      </xdr:nvSpPr>
      <xdr:spPr>
        <a:xfrm>
          <a:off x="123825" y="66675"/>
          <a:ext cx="1296000" cy="219076"/>
        </a:xfrm>
        <a:prstGeom prst="rect">
          <a:avLst/>
        </a:prstGeom>
        <a:solidFill>
          <a:schemeClr val="bg1">
            <a:lumMod val="85000"/>
          </a:schemeClr>
        </a:solidFill>
        <a:ln w="6350">
          <a:solidFill>
            <a:schemeClr val="tx1"/>
          </a:solidFill>
        </a:ln>
      </xdr:spPr>
      <xdr:style>
        <a:lnRef idx="2">
          <a:schemeClr val="accent2"/>
        </a:lnRef>
        <a:fillRef idx="1">
          <a:schemeClr val="lt1"/>
        </a:fillRef>
        <a:effectRef idx="0">
          <a:schemeClr val="accent2"/>
        </a:effectRef>
        <a:fontRef idx="minor">
          <a:schemeClr val="dk1"/>
        </a:fontRef>
      </xdr:style>
      <xdr:txBody>
        <a:bodyPr vertOverflow="clip" rtlCol="0" anchor="ctr"/>
        <a:lstStyle/>
        <a:p>
          <a:pPr algn="l"/>
          <a:fld id="{41197CB5-8F2B-45A6-9221-14D76C42FBE8}" type="TxLink">
            <a:rPr lang="en-US" sz="1200" b="1" i="0" u="none" strike="noStrike">
              <a:solidFill>
                <a:srgbClr val="000000"/>
              </a:solidFill>
              <a:latin typeface="Calibri"/>
              <a:cs typeface="Calibri"/>
            </a:rPr>
            <a:pPr algn="l"/>
            <a:t> </a:t>
          </a:fld>
          <a:endParaRPr lang="pt-BR" sz="1200" b="1">
            <a:solidFill>
              <a:sysClr val="windowText" lastClr="000000"/>
            </a:solidFill>
          </a:endParaRPr>
        </a:p>
      </xdr:txBody>
    </xdr:sp>
    <xdr:clientData/>
  </xdr:twoCellAnchor>
  <xdr:twoCellAnchor editAs="oneCell">
    <xdr:from>
      <xdr:col>1</xdr:col>
      <xdr:colOff>28573</xdr:colOff>
      <xdr:row>2</xdr:row>
      <xdr:rowOff>28574</xdr:rowOff>
    </xdr:from>
    <xdr:to>
      <xdr:col>2</xdr:col>
      <xdr:colOff>943573</xdr:colOff>
      <xdr:row>3</xdr:row>
      <xdr:rowOff>6449</xdr:rowOff>
    </xdr:to>
    <xdr:sp macro="" textlink="$S$11">
      <xdr:nvSpPr>
        <xdr:cNvPr id="4" name="Retângulo 3">
          <a:extLst>
            <a:ext uri="{FF2B5EF4-FFF2-40B4-BE49-F238E27FC236}">
              <a16:creationId xmlns:a16="http://schemas.microsoft.com/office/drawing/2014/main" id="{00000000-0008-0000-0500-000004000000}"/>
            </a:ext>
          </a:extLst>
        </xdr:cNvPr>
        <xdr:cNvSpPr/>
      </xdr:nvSpPr>
      <xdr:spPr>
        <a:xfrm>
          <a:off x="38098" y="409574"/>
          <a:ext cx="1296000" cy="216000"/>
        </a:xfrm>
        <a:prstGeom prst="rect">
          <a:avLst/>
        </a:prstGeom>
        <a:solidFill>
          <a:schemeClr val="bg1">
            <a:lumMod val="85000"/>
          </a:schemeClr>
        </a:solidFill>
        <a:ln>
          <a:noFill/>
        </a:ln>
      </xdr:spPr>
      <xdr:style>
        <a:lnRef idx="2">
          <a:schemeClr val="accent2"/>
        </a:lnRef>
        <a:fillRef idx="1">
          <a:schemeClr val="lt1"/>
        </a:fillRef>
        <a:effectRef idx="0">
          <a:schemeClr val="accent2"/>
        </a:effectRef>
        <a:fontRef idx="minor">
          <a:schemeClr val="dk1"/>
        </a:fontRef>
      </xdr:style>
      <xdr:txBody>
        <a:bodyPr vertOverflow="clip" rtlCol="0" anchor="ctr"/>
        <a:lstStyle/>
        <a:p>
          <a:pPr algn="l"/>
          <a:fld id="{7F2D8DC7-5CA0-4D12-B0EF-39261FD46C39}" type="TxLink">
            <a:rPr lang="en-US" sz="1200" b="1" i="0" u="none" strike="noStrike">
              <a:solidFill>
                <a:srgbClr val="000000"/>
              </a:solidFill>
              <a:latin typeface="Calibri"/>
              <a:cs typeface="Calibri"/>
            </a:rPr>
            <a:pPr algn="l"/>
            <a:t> </a:t>
          </a:fld>
          <a:endParaRPr lang="pt-BR" sz="1200" b="1">
            <a:solidFill>
              <a:sysClr val="windowText" lastClr="000000"/>
            </a:solidFill>
          </a:endParaRPr>
        </a:p>
      </xdr:txBody>
    </xdr:sp>
    <xdr:clientData/>
  </xdr:twoCellAnchor>
  <xdr:twoCellAnchor editAs="oneCell">
    <xdr:from>
      <xdr:col>2</xdr:col>
      <xdr:colOff>876300</xdr:colOff>
      <xdr:row>2</xdr:row>
      <xdr:rowOff>28574</xdr:rowOff>
    </xdr:from>
    <xdr:to>
      <xdr:col>5</xdr:col>
      <xdr:colOff>518250</xdr:colOff>
      <xdr:row>3</xdr:row>
      <xdr:rowOff>6449</xdr:rowOff>
    </xdr:to>
    <xdr:sp macro="" textlink="$S$12">
      <xdr:nvSpPr>
        <xdr:cNvPr id="5" name="Retângulo 4">
          <a:extLst>
            <a:ext uri="{FF2B5EF4-FFF2-40B4-BE49-F238E27FC236}">
              <a16:creationId xmlns:a16="http://schemas.microsoft.com/office/drawing/2014/main" id="{00000000-0008-0000-0500-000005000000}"/>
            </a:ext>
          </a:extLst>
        </xdr:cNvPr>
        <xdr:cNvSpPr/>
      </xdr:nvSpPr>
      <xdr:spPr>
        <a:xfrm>
          <a:off x="1266825" y="409574"/>
          <a:ext cx="3852000" cy="216000"/>
        </a:xfrm>
        <a:prstGeom prst="rect">
          <a:avLst/>
        </a:prstGeom>
        <a:solidFill>
          <a:schemeClr val="bg1">
            <a:lumMod val="85000"/>
          </a:schemeClr>
        </a:solidFill>
        <a:ln>
          <a:noFill/>
        </a:ln>
      </xdr:spPr>
      <xdr:style>
        <a:lnRef idx="2">
          <a:schemeClr val="accent2"/>
        </a:lnRef>
        <a:fillRef idx="1">
          <a:schemeClr val="lt1"/>
        </a:fillRef>
        <a:effectRef idx="0">
          <a:schemeClr val="accent2"/>
        </a:effectRef>
        <a:fontRef idx="minor">
          <a:schemeClr val="dk1"/>
        </a:fontRef>
      </xdr:style>
      <xdr:txBody>
        <a:bodyPr vertOverflow="clip" rtlCol="0" anchor="ctr"/>
        <a:lstStyle/>
        <a:p>
          <a:pPr algn="l"/>
          <a:fld id="{58F5E77A-1DE0-4450-9352-8219BEF5F658}" type="TxLink">
            <a:rPr lang="en-US" sz="1000" b="0" i="0" u="none" strike="noStrike">
              <a:solidFill>
                <a:srgbClr val="000000"/>
              </a:solidFill>
              <a:latin typeface="Calibri"/>
              <a:cs typeface="Calibri"/>
            </a:rPr>
            <a:pPr algn="l"/>
            <a:t> </a:t>
          </a:fld>
          <a:endParaRPr lang="pt-BR" sz="1200" b="1">
            <a:solidFill>
              <a:sysClr val="windowText" lastClr="000000"/>
            </a:solidFill>
          </a:endParaRPr>
        </a:p>
      </xdr:txBody>
    </xdr:sp>
    <xdr:clientData/>
  </xdr:twoCellAnchor>
  <xdr:twoCellAnchor editAs="oneCell">
    <xdr:from>
      <xdr:col>1</xdr:col>
      <xdr:colOff>28575</xdr:colOff>
      <xdr:row>4</xdr:row>
      <xdr:rowOff>9524</xdr:rowOff>
    </xdr:from>
    <xdr:to>
      <xdr:col>2</xdr:col>
      <xdr:colOff>962025</xdr:colOff>
      <xdr:row>4</xdr:row>
      <xdr:rowOff>225524</xdr:rowOff>
    </xdr:to>
    <xdr:sp macro="" textlink="$S$15">
      <xdr:nvSpPr>
        <xdr:cNvPr id="6" name="Retângulo 5">
          <a:extLst>
            <a:ext uri="{FF2B5EF4-FFF2-40B4-BE49-F238E27FC236}">
              <a16:creationId xmlns:a16="http://schemas.microsoft.com/office/drawing/2014/main" id="{00000000-0008-0000-0500-000006000000}"/>
            </a:ext>
          </a:extLst>
        </xdr:cNvPr>
        <xdr:cNvSpPr/>
      </xdr:nvSpPr>
      <xdr:spPr>
        <a:xfrm>
          <a:off x="152400" y="1047749"/>
          <a:ext cx="1314450" cy="216000"/>
        </a:xfrm>
        <a:prstGeom prst="rect">
          <a:avLst/>
        </a:prstGeom>
        <a:solidFill>
          <a:schemeClr val="bg1">
            <a:lumMod val="85000"/>
          </a:schemeClr>
        </a:solidFill>
        <a:ln>
          <a:noFill/>
        </a:ln>
      </xdr:spPr>
      <xdr:style>
        <a:lnRef idx="2">
          <a:schemeClr val="accent2"/>
        </a:lnRef>
        <a:fillRef idx="1">
          <a:schemeClr val="lt1"/>
        </a:fillRef>
        <a:effectRef idx="0">
          <a:schemeClr val="accent2"/>
        </a:effectRef>
        <a:fontRef idx="minor">
          <a:schemeClr val="dk1"/>
        </a:fontRef>
      </xdr:style>
      <xdr:txBody>
        <a:bodyPr vertOverflow="clip" rtlCol="0" anchor="ctr"/>
        <a:lstStyle/>
        <a:p>
          <a:pPr algn="l"/>
          <a:fld id="{0865F4DB-3131-475A-98F3-1F266B46BA82}" type="TxLink">
            <a:rPr lang="en-US" sz="1000" b="0" i="0" u="none" strike="noStrike">
              <a:solidFill>
                <a:srgbClr val="000000"/>
              </a:solidFill>
              <a:latin typeface="Calibri"/>
              <a:cs typeface="Calibri"/>
            </a:rPr>
            <a:pPr algn="l"/>
            <a:t> </a:t>
          </a:fld>
          <a:endParaRPr lang="en-US" sz="1000" b="0" i="0" u="none" strike="noStrike">
            <a:solidFill>
              <a:srgbClr val="000000"/>
            </a:solidFill>
            <a:latin typeface="Calibri"/>
          </a:endParaRPr>
        </a:p>
      </xdr:txBody>
    </xdr:sp>
    <xdr:clientData/>
  </xdr:twoCellAnchor>
  <xdr:twoCellAnchor editAs="oneCell">
    <xdr:from>
      <xdr:col>2</xdr:col>
      <xdr:colOff>1066798</xdr:colOff>
      <xdr:row>4</xdr:row>
      <xdr:rowOff>9524</xdr:rowOff>
    </xdr:from>
    <xdr:to>
      <xdr:col>2</xdr:col>
      <xdr:colOff>2182798</xdr:colOff>
      <xdr:row>4</xdr:row>
      <xdr:rowOff>225524</xdr:rowOff>
    </xdr:to>
    <xdr:sp macro="" textlink="$S$14">
      <xdr:nvSpPr>
        <xdr:cNvPr id="7" name="Retângulo 6">
          <a:extLst>
            <a:ext uri="{FF2B5EF4-FFF2-40B4-BE49-F238E27FC236}">
              <a16:creationId xmlns:a16="http://schemas.microsoft.com/office/drawing/2014/main" id="{00000000-0008-0000-0500-000007000000}"/>
            </a:ext>
          </a:extLst>
        </xdr:cNvPr>
        <xdr:cNvSpPr/>
      </xdr:nvSpPr>
      <xdr:spPr>
        <a:xfrm>
          <a:off x="1562098" y="1047749"/>
          <a:ext cx="1116000" cy="216000"/>
        </a:xfrm>
        <a:prstGeom prst="rect">
          <a:avLst/>
        </a:prstGeom>
        <a:solidFill>
          <a:schemeClr val="bg1">
            <a:lumMod val="85000"/>
          </a:schemeClr>
        </a:solidFill>
        <a:ln>
          <a:noFill/>
        </a:ln>
      </xdr:spPr>
      <xdr:style>
        <a:lnRef idx="2">
          <a:schemeClr val="accent2"/>
        </a:lnRef>
        <a:fillRef idx="1">
          <a:schemeClr val="lt1"/>
        </a:fillRef>
        <a:effectRef idx="0">
          <a:schemeClr val="accent2"/>
        </a:effectRef>
        <a:fontRef idx="minor">
          <a:schemeClr val="dk1"/>
        </a:fontRef>
      </xdr:style>
      <xdr:txBody>
        <a:bodyPr vertOverflow="clip" rtlCol="0" anchor="ctr"/>
        <a:lstStyle/>
        <a:p>
          <a:pPr algn="l"/>
          <a:fld id="{58D3EBC7-C985-466E-99F0-33C97E1A0B21}" type="TxLink">
            <a:rPr lang="en-US" sz="1100" b="1" i="0" u="none" strike="noStrike">
              <a:solidFill>
                <a:srgbClr val="000000"/>
              </a:solidFill>
              <a:latin typeface="Calibri"/>
              <a:cs typeface="Calibri"/>
            </a:rPr>
            <a:pPr algn="l"/>
            <a:t> </a:t>
          </a:fld>
          <a:endParaRPr lang="en-US" sz="1100" b="1" i="0" u="none" strike="noStrike">
            <a:solidFill>
              <a:srgbClr val="000000"/>
            </a:solidFill>
            <a:latin typeface="Calibri"/>
          </a:endParaRPr>
        </a:p>
      </xdr:txBody>
    </xdr:sp>
    <xdr:clientData/>
  </xdr:twoCellAnchor>
  <xdr:twoCellAnchor editAs="oneCell">
    <xdr:from>
      <xdr:col>2</xdr:col>
      <xdr:colOff>2238375</xdr:colOff>
      <xdr:row>4</xdr:row>
      <xdr:rowOff>9524</xdr:rowOff>
    </xdr:from>
    <xdr:to>
      <xdr:col>5</xdr:col>
      <xdr:colOff>476325</xdr:colOff>
      <xdr:row>4</xdr:row>
      <xdr:rowOff>225524</xdr:rowOff>
    </xdr:to>
    <xdr:sp macro="" textlink="$S$13">
      <xdr:nvSpPr>
        <xdr:cNvPr id="8" name="Retângulo 7">
          <a:extLst>
            <a:ext uri="{FF2B5EF4-FFF2-40B4-BE49-F238E27FC236}">
              <a16:creationId xmlns:a16="http://schemas.microsoft.com/office/drawing/2014/main" id="{00000000-0008-0000-0500-000008000000}"/>
            </a:ext>
          </a:extLst>
        </xdr:cNvPr>
        <xdr:cNvSpPr/>
      </xdr:nvSpPr>
      <xdr:spPr>
        <a:xfrm>
          <a:off x="2733675" y="1047749"/>
          <a:ext cx="2448000" cy="216000"/>
        </a:xfrm>
        <a:prstGeom prst="rect">
          <a:avLst/>
        </a:prstGeom>
        <a:solidFill>
          <a:schemeClr val="bg1">
            <a:lumMod val="85000"/>
          </a:schemeClr>
        </a:solidFill>
        <a:ln>
          <a:noFill/>
        </a:ln>
      </xdr:spPr>
      <xdr:style>
        <a:lnRef idx="2">
          <a:schemeClr val="accent2"/>
        </a:lnRef>
        <a:fillRef idx="1">
          <a:schemeClr val="lt1"/>
        </a:fillRef>
        <a:effectRef idx="0">
          <a:schemeClr val="accent2"/>
        </a:effectRef>
        <a:fontRef idx="minor">
          <a:schemeClr val="dk1"/>
        </a:fontRef>
      </xdr:style>
      <xdr:txBody>
        <a:bodyPr vertOverflow="clip" rtlCol="0" anchor="ctr"/>
        <a:lstStyle/>
        <a:p>
          <a:pPr algn="l"/>
          <a:fld id="{FBB61787-DCEE-436A-8C24-221DD960A988}" type="TxLink">
            <a:rPr lang="en-US" sz="1000" b="0" i="0" u="none" strike="noStrike">
              <a:solidFill>
                <a:srgbClr val="000000"/>
              </a:solidFill>
              <a:latin typeface="Calibri"/>
              <a:cs typeface="Calibri"/>
            </a:rPr>
            <a:pPr algn="l"/>
            <a:t> </a:t>
          </a:fld>
          <a:endParaRPr lang="en-US" sz="1000" b="0" i="0" u="none" strike="noStrike">
            <a:solidFill>
              <a:srgbClr val="000000"/>
            </a:solidFill>
            <a:latin typeface="Calibri"/>
          </a:endParaRPr>
        </a:p>
      </xdr:txBody>
    </xdr:sp>
    <xdr:clientData/>
  </xdr:twoCellAnchor>
  <xdr:twoCellAnchor editAs="oneCell">
    <xdr:from>
      <xdr:col>1</xdr:col>
      <xdr:colOff>28575</xdr:colOff>
      <xdr:row>3</xdr:row>
      <xdr:rowOff>19049</xdr:rowOff>
    </xdr:from>
    <xdr:to>
      <xdr:col>5</xdr:col>
      <xdr:colOff>225525</xdr:colOff>
      <xdr:row>3</xdr:row>
      <xdr:rowOff>235049</xdr:rowOff>
    </xdr:to>
    <xdr:sp macro="" textlink="$S$16">
      <xdr:nvSpPr>
        <xdr:cNvPr id="14" name="Retângulo 13">
          <a:extLst>
            <a:ext uri="{FF2B5EF4-FFF2-40B4-BE49-F238E27FC236}">
              <a16:creationId xmlns:a16="http://schemas.microsoft.com/office/drawing/2014/main" id="{00000000-0008-0000-0500-00000E000000}"/>
            </a:ext>
          </a:extLst>
        </xdr:cNvPr>
        <xdr:cNvSpPr/>
      </xdr:nvSpPr>
      <xdr:spPr>
        <a:xfrm>
          <a:off x="371475" y="638174"/>
          <a:ext cx="4788000" cy="216000"/>
        </a:xfrm>
        <a:prstGeom prst="rect">
          <a:avLst/>
        </a:prstGeom>
        <a:solidFill>
          <a:schemeClr val="bg1">
            <a:lumMod val="85000"/>
          </a:schemeClr>
        </a:solidFill>
        <a:ln>
          <a:noFill/>
        </a:ln>
      </xdr:spPr>
      <xdr:style>
        <a:lnRef idx="2">
          <a:schemeClr val="accent2"/>
        </a:lnRef>
        <a:fillRef idx="1">
          <a:schemeClr val="lt1"/>
        </a:fillRef>
        <a:effectRef idx="0">
          <a:schemeClr val="accent2"/>
        </a:effectRef>
        <a:fontRef idx="minor">
          <a:schemeClr val="dk1"/>
        </a:fontRef>
      </xdr:style>
      <xdr:txBody>
        <a:bodyPr vertOverflow="clip" rtlCol="0" anchor="ctr"/>
        <a:lstStyle/>
        <a:p>
          <a:pPr algn="l"/>
          <a:fld id="{C0337E8E-9E30-4956-840C-29A3BC0BE988}" type="TxLink">
            <a:rPr lang="en-US" sz="1000" b="0" i="0" u="none" strike="noStrike">
              <a:solidFill>
                <a:srgbClr val="000000"/>
              </a:solidFill>
              <a:latin typeface="Calibri"/>
              <a:cs typeface="Calibri"/>
            </a:rPr>
            <a:pPr algn="l"/>
            <a:t> </a:t>
          </a:fld>
          <a:endParaRPr lang="pt-BR" sz="1200" b="1">
            <a:solidFill>
              <a:sysClr val="windowText" lastClr="000000"/>
            </a:solidFill>
          </a:endParaRPr>
        </a:p>
      </xdr:txBody>
    </xdr:sp>
    <xdr:clientData/>
  </xdr:twoCellAnchor>
  <xdr:twoCellAnchor editAs="oneCell">
    <xdr:from>
      <xdr:col>5</xdr:col>
      <xdr:colOff>476250</xdr:colOff>
      <xdr:row>5</xdr:row>
      <xdr:rowOff>247649</xdr:rowOff>
    </xdr:from>
    <xdr:to>
      <xdr:col>9</xdr:col>
      <xdr:colOff>81300</xdr:colOff>
      <xdr:row>5</xdr:row>
      <xdr:rowOff>463649</xdr:rowOff>
    </xdr:to>
    <xdr:sp macro="" textlink="$S$17">
      <xdr:nvSpPr>
        <xdr:cNvPr id="10" name="Retângulo 9">
          <a:extLst>
            <a:ext uri="{FF2B5EF4-FFF2-40B4-BE49-F238E27FC236}">
              <a16:creationId xmlns:a16="http://schemas.microsoft.com/office/drawing/2014/main" id="{00000000-0008-0000-0500-00000A000000}"/>
            </a:ext>
          </a:extLst>
        </xdr:cNvPr>
        <xdr:cNvSpPr/>
      </xdr:nvSpPr>
      <xdr:spPr>
        <a:xfrm>
          <a:off x="5038725" y="1343024"/>
          <a:ext cx="1872000" cy="216000"/>
        </a:xfrm>
        <a:prstGeom prst="rect">
          <a:avLst/>
        </a:prstGeom>
        <a:solidFill>
          <a:schemeClr val="bg1">
            <a:lumMod val="85000"/>
          </a:schemeClr>
        </a:solidFill>
        <a:ln>
          <a:noFill/>
        </a:ln>
      </xdr:spPr>
      <xdr:style>
        <a:lnRef idx="2">
          <a:schemeClr val="accent2"/>
        </a:lnRef>
        <a:fillRef idx="1">
          <a:schemeClr val="lt1"/>
        </a:fillRef>
        <a:effectRef idx="0">
          <a:schemeClr val="accent2"/>
        </a:effectRef>
        <a:fontRef idx="minor">
          <a:schemeClr val="dk1"/>
        </a:fontRef>
      </xdr:style>
      <xdr:txBody>
        <a:bodyPr vertOverflow="clip" rtlCol="0" anchor="ctr"/>
        <a:lstStyle/>
        <a:p>
          <a:pPr algn="r"/>
          <a:fld id="{40575A0A-4CE9-474E-9346-119D728F306A}" type="TxLink">
            <a:rPr lang="en-US" sz="1000" b="0" i="0" u="none" strike="noStrike">
              <a:solidFill>
                <a:srgbClr val="000000"/>
              </a:solidFill>
              <a:latin typeface="Calibri"/>
              <a:cs typeface="Calibri"/>
            </a:rPr>
            <a:pPr algn="r"/>
            <a:t> </a:t>
          </a:fld>
          <a:endParaRPr lang="en-US" sz="1000" b="0" i="0" u="none" strike="noStrike">
            <a:solidFill>
              <a:srgbClr val="000000"/>
            </a:solidFill>
            <a:latin typeface="Calibri"/>
          </a:endParaRPr>
        </a:p>
      </xdr:txBody>
    </xdr:sp>
    <xdr:clientData/>
  </xdr:twoCellAnchor>
  <xdr:twoCellAnchor editAs="oneCell">
    <xdr:from>
      <xdr:col>6</xdr:col>
      <xdr:colOff>142876</xdr:colOff>
      <xdr:row>3</xdr:row>
      <xdr:rowOff>180974</xdr:rowOff>
    </xdr:from>
    <xdr:to>
      <xdr:col>9</xdr:col>
      <xdr:colOff>79051</xdr:colOff>
      <xdr:row>4</xdr:row>
      <xdr:rowOff>158849</xdr:rowOff>
    </xdr:to>
    <xdr:sp macro="" textlink="$S$10">
      <xdr:nvSpPr>
        <xdr:cNvPr id="11" name="Retângulo 10">
          <a:extLst>
            <a:ext uri="{FF2B5EF4-FFF2-40B4-BE49-F238E27FC236}">
              <a16:creationId xmlns:a16="http://schemas.microsoft.com/office/drawing/2014/main" id="{00000000-0008-0000-0500-00000B000000}"/>
            </a:ext>
          </a:extLst>
        </xdr:cNvPr>
        <xdr:cNvSpPr/>
      </xdr:nvSpPr>
      <xdr:spPr>
        <a:xfrm>
          <a:off x="5667376" y="981074"/>
          <a:ext cx="1584000" cy="216000"/>
        </a:xfrm>
        <a:prstGeom prst="rect">
          <a:avLst/>
        </a:prstGeom>
        <a:solidFill>
          <a:schemeClr val="bg1">
            <a:lumMod val="85000"/>
          </a:schemeClr>
        </a:solidFill>
        <a:ln>
          <a:noFill/>
        </a:ln>
      </xdr:spPr>
      <xdr:style>
        <a:lnRef idx="2">
          <a:schemeClr val="accent2"/>
        </a:lnRef>
        <a:fillRef idx="1">
          <a:schemeClr val="lt1"/>
        </a:fillRef>
        <a:effectRef idx="0">
          <a:schemeClr val="accent2"/>
        </a:effectRef>
        <a:fontRef idx="minor">
          <a:schemeClr val="dk1"/>
        </a:fontRef>
      </xdr:style>
      <xdr:txBody>
        <a:bodyPr vertOverflow="clip" rtlCol="0" anchor="ctr"/>
        <a:lstStyle/>
        <a:p>
          <a:pPr algn="r"/>
          <a:fld id="{B61D5EA6-402F-4653-8949-3EFC36FDFEFC}" type="TxLink">
            <a:rPr lang="en-US" sz="1000" b="0" i="0" u="none" strike="noStrike">
              <a:solidFill>
                <a:srgbClr val="000000"/>
              </a:solidFill>
              <a:latin typeface="Calibri"/>
              <a:cs typeface="Calibri"/>
            </a:rPr>
            <a:pPr algn="r"/>
            <a:t> </a:t>
          </a:fld>
          <a:endParaRPr lang="en-US" sz="1000" b="0" i="0" u="none" strike="noStrike">
            <a:solidFill>
              <a:srgbClr val="000000"/>
            </a:solidFill>
            <a:latin typeface="Calibri"/>
          </a:endParaRPr>
        </a:p>
      </xdr:txBody>
    </xdr:sp>
    <xdr:clientData/>
  </xdr:twoCellAnchor>
  <xdr:twoCellAnchor editAs="oneCell">
    <xdr:from>
      <xdr:col>5</xdr:col>
      <xdr:colOff>400051</xdr:colOff>
      <xdr:row>4</xdr:row>
      <xdr:rowOff>209549</xdr:rowOff>
    </xdr:from>
    <xdr:to>
      <xdr:col>9</xdr:col>
      <xdr:colOff>77101</xdr:colOff>
      <xdr:row>5</xdr:row>
      <xdr:rowOff>187424</xdr:rowOff>
    </xdr:to>
    <xdr:sp macro="" textlink="">
      <xdr:nvSpPr>
        <xdr:cNvPr id="12" name="Retângulo 11">
          <a:extLst>
            <a:ext uri="{FF2B5EF4-FFF2-40B4-BE49-F238E27FC236}">
              <a16:creationId xmlns:a16="http://schemas.microsoft.com/office/drawing/2014/main" id="{00000000-0008-0000-0500-00000C000000}"/>
            </a:ext>
          </a:extLst>
        </xdr:cNvPr>
        <xdr:cNvSpPr/>
      </xdr:nvSpPr>
      <xdr:spPr>
        <a:xfrm>
          <a:off x="5305426" y="1247774"/>
          <a:ext cx="1944000" cy="216000"/>
        </a:xfrm>
        <a:prstGeom prst="rect">
          <a:avLst/>
        </a:prstGeom>
        <a:solidFill>
          <a:schemeClr val="bg1">
            <a:lumMod val="85000"/>
          </a:schemeClr>
        </a:solidFill>
        <a:ln>
          <a:noFill/>
        </a:ln>
      </xdr:spPr>
      <xdr:style>
        <a:lnRef idx="2">
          <a:schemeClr val="accent2"/>
        </a:lnRef>
        <a:fillRef idx="1">
          <a:schemeClr val="lt1"/>
        </a:fillRef>
        <a:effectRef idx="0">
          <a:schemeClr val="accent2"/>
        </a:effectRef>
        <a:fontRef idx="minor">
          <a:schemeClr val="dk1"/>
        </a:fontRef>
      </xdr:style>
      <xdr:txBody>
        <a:bodyPr vertOverflow="clip" rtlCol="0" anchor="ctr"/>
        <a:lstStyle/>
        <a:p>
          <a:pPr algn="r"/>
          <a:r>
            <a:rPr lang="en-US" sz="1000" b="0" i="0" u="none" strike="noStrike">
              <a:solidFill>
                <a:srgbClr val="000000"/>
              </a:solidFill>
              <a:latin typeface="+mn-lt"/>
              <a:cs typeface="Calibri"/>
            </a:rPr>
            <a:t>Data início : ____ / ____ / _____.</a:t>
          </a:r>
        </a:p>
      </xdr:txBody>
    </xdr:sp>
    <xdr:clientData/>
  </xdr:twoCellAnchor>
  <xdr:twoCellAnchor editAs="oneCell">
    <xdr:from>
      <xdr:col>12</xdr:col>
      <xdr:colOff>514350</xdr:colOff>
      <xdr:row>5</xdr:row>
      <xdr:rowOff>495300</xdr:rowOff>
    </xdr:from>
    <xdr:to>
      <xdr:col>14</xdr:col>
      <xdr:colOff>258600</xdr:colOff>
      <xdr:row>7</xdr:row>
      <xdr:rowOff>259425</xdr:rowOff>
    </xdr:to>
    <xdr:sp macro="[0]!reexibir_linhas_em_ficha_acompanhamento" textlink="">
      <xdr:nvSpPr>
        <xdr:cNvPr id="13" name="Retângulo de cantos arredondados 12">
          <a:extLst>
            <a:ext uri="{FF2B5EF4-FFF2-40B4-BE49-F238E27FC236}">
              <a16:creationId xmlns:a16="http://schemas.microsoft.com/office/drawing/2014/main" id="{00000000-0008-0000-0500-00000D000000}"/>
            </a:ext>
          </a:extLst>
        </xdr:cNvPr>
        <xdr:cNvSpPr/>
      </xdr:nvSpPr>
      <xdr:spPr bwMode="auto">
        <a:xfrm>
          <a:off x="8839200" y="1590675"/>
          <a:ext cx="792000" cy="288000"/>
        </a:xfrm>
        <a:prstGeom prst="roundRect">
          <a:avLst/>
        </a:prstGeom>
        <a:solidFill>
          <a:schemeClr val="accent5">
            <a:lumMod val="40000"/>
            <a:lumOff val="60000"/>
          </a:schemeClr>
        </a:solidFill>
        <a:ln w="9525" cap="flat" cmpd="sng" algn="ctr">
          <a:solidFill>
            <a:schemeClr val="accent5">
              <a:lumMod val="40000"/>
              <a:lumOff val="6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800" b="1">
              <a:solidFill>
                <a:srgbClr val="0000FF"/>
              </a:solidFill>
              <a:latin typeface="Arial" pitchFamily="34" charset="0"/>
              <a:cs typeface="Arial" pitchFamily="34" charset="0"/>
            </a:rPr>
            <a:t>Reexibir</a:t>
          </a:r>
        </a:p>
        <a:p>
          <a:pPr algn="ctr"/>
          <a:r>
            <a:rPr lang="pt-BR" sz="800" b="1">
              <a:solidFill>
                <a:srgbClr val="0000FF"/>
              </a:solidFill>
              <a:latin typeface="Arial" pitchFamily="34" charset="0"/>
              <a:cs typeface="Arial" pitchFamily="34" charset="0"/>
            </a:rPr>
            <a:t>linhas</a:t>
          </a:r>
        </a:p>
      </xdr:txBody>
    </xdr:sp>
    <xdr:clientData fPrintsWithSheet="0"/>
  </xdr:twoCellAnchor>
  <xdr:twoCellAnchor editAs="oneCell">
    <xdr:from>
      <xdr:col>12</xdr:col>
      <xdr:colOff>514350</xdr:colOff>
      <xdr:row>5</xdr:row>
      <xdr:rowOff>123825</xdr:rowOff>
    </xdr:from>
    <xdr:to>
      <xdr:col>14</xdr:col>
      <xdr:colOff>258600</xdr:colOff>
      <xdr:row>5</xdr:row>
      <xdr:rowOff>411825</xdr:rowOff>
    </xdr:to>
    <xdr:sp macro="[0]!ocultar_linhas_em_ficha_acompanhamento" textlink="">
      <xdr:nvSpPr>
        <xdr:cNvPr id="15" name="Retângulo de cantos arredondados 14">
          <a:extLst>
            <a:ext uri="{FF2B5EF4-FFF2-40B4-BE49-F238E27FC236}">
              <a16:creationId xmlns:a16="http://schemas.microsoft.com/office/drawing/2014/main" id="{00000000-0008-0000-0500-00000F000000}"/>
            </a:ext>
          </a:extLst>
        </xdr:cNvPr>
        <xdr:cNvSpPr/>
      </xdr:nvSpPr>
      <xdr:spPr bwMode="auto">
        <a:xfrm>
          <a:off x="8839200" y="1219200"/>
          <a:ext cx="792000" cy="288000"/>
        </a:xfrm>
        <a:prstGeom prst="roundRect">
          <a:avLst/>
        </a:prstGeom>
        <a:solidFill>
          <a:schemeClr val="accent5">
            <a:lumMod val="40000"/>
            <a:lumOff val="60000"/>
          </a:schemeClr>
        </a:solidFill>
        <a:ln w="9525" cap="flat" cmpd="sng" algn="ctr">
          <a:solidFill>
            <a:schemeClr val="accent5">
              <a:lumMod val="40000"/>
              <a:lumOff val="6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800" b="1">
              <a:solidFill>
                <a:srgbClr val="FF0000"/>
              </a:solidFill>
              <a:latin typeface="Arial" pitchFamily="34" charset="0"/>
              <a:cs typeface="Arial" pitchFamily="34" charset="0"/>
            </a:rPr>
            <a:t>Ocultar linhas</a:t>
          </a:r>
        </a:p>
        <a:p>
          <a:pPr algn="ctr"/>
          <a:r>
            <a:rPr lang="pt-BR" sz="800" b="1">
              <a:solidFill>
                <a:srgbClr val="FF0000"/>
              </a:solidFill>
              <a:latin typeface="Arial" pitchFamily="34" charset="0"/>
              <a:cs typeface="Arial" pitchFamily="34" charset="0"/>
            </a:rPr>
            <a:t>em branco</a:t>
          </a:r>
        </a:p>
      </xdr:txBody>
    </xdr:sp>
    <xdr:clientData fPrintsWithSheet="0"/>
  </xdr:twoCellAnchor>
  <xdr:twoCellAnchor editAs="oneCell">
    <xdr:from>
      <xdr:col>15</xdr:col>
      <xdr:colOff>190500</xdr:colOff>
      <xdr:row>0</xdr:row>
      <xdr:rowOff>47625</xdr:rowOff>
    </xdr:from>
    <xdr:to>
      <xdr:col>15</xdr:col>
      <xdr:colOff>802500</xdr:colOff>
      <xdr:row>1</xdr:row>
      <xdr:rowOff>91125</xdr:rowOff>
    </xdr:to>
    <xdr:sp macro="[0]!limpar_ficha_acompanhamento" textlink="">
      <xdr:nvSpPr>
        <xdr:cNvPr id="16" name="Retângulo de cantos arredondados 15">
          <a:extLst>
            <a:ext uri="{FF2B5EF4-FFF2-40B4-BE49-F238E27FC236}">
              <a16:creationId xmlns:a16="http://schemas.microsoft.com/office/drawing/2014/main" id="{00000000-0008-0000-0500-000010000000}"/>
            </a:ext>
          </a:extLst>
        </xdr:cNvPr>
        <xdr:cNvSpPr>
          <a:spLocks/>
        </xdr:cNvSpPr>
      </xdr:nvSpPr>
      <xdr:spPr>
        <a:xfrm>
          <a:off x="10048875" y="47625"/>
          <a:ext cx="612000" cy="234000"/>
        </a:xfrm>
        <a:prstGeom prst="roundRect">
          <a:avLst/>
        </a:prstGeom>
        <a:solidFill>
          <a:srgbClr val="FF0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5"/>
        </a:lnRef>
        <a:fillRef idx="3">
          <a:schemeClr val="accent5"/>
        </a:fillRef>
        <a:effectRef idx="3">
          <a:schemeClr val="accent5"/>
        </a:effectRef>
        <a:fontRef idx="minor">
          <a:schemeClr val="lt1"/>
        </a:fontRef>
      </xdr:style>
      <xdr:txBody>
        <a:bodyPr vertOverflow="clip" rtlCol="0" anchor="ctr"/>
        <a:lstStyle/>
        <a:p>
          <a:pPr algn="ctr"/>
          <a:r>
            <a:rPr lang="pt-BR" sz="1100" b="1">
              <a:latin typeface="+mn-lt"/>
              <a:cs typeface="Arial" pitchFamily="34" charset="0"/>
            </a:rPr>
            <a:t>Limpar</a:t>
          </a:r>
        </a:p>
      </xdr:txBody>
    </xdr:sp>
    <xdr:clientData fPrintsWithSheet="0"/>
  </xdr:twoCellAnchor>
  <xdr:twoCellAnchor editAs="oneCell">
    <xdr:from>
      <xdr:col>10</xdr:col>
      <xdr:colOff>9525</xdr:colOff>
      <xdr:row>5</xdr:row>
      <xdr:rowOff>123825</xdr:rowOff>
    </xdr:from>
    <xdr:to>
      <xdr:col>11</xdr:col>
      <xdr:colOff>127350</xdr:colOff>
      <xdr:row>5</xdr:row>
      <xdr:rowOff>411825</xdr:rowOff>
    </xdr:to>
    <xdr:sp macro="[0]!ir_para_menu" textlink="">
      <xdr:nvSpPr>
        <xdr:cNvPr id="17" name="Retângulo de cantos arredondados 16">
          <a:extLst>
            <a:ext uri="{FF2B5EF4-FFF2-40B4-BE49-F238E27FC236}">
              <a16:creationId xmlns:a16="http://schemas.microsoft.com/office/drawing/2014/main" id="{00000000-0008-0000-0500-000011000000}"/>
            </a:ext>
          </a:extLst>
        </xdr:cNvPr>
        <xdr:cNvSpPr/>
      </xdr:nvSpPr>
      <xdr:spPr bwMode="auto">
        <a:xfrm>
          <a:off x="7067550" y="1219200"/>
          <a:ext cx="756000" cy="288000"/>
        </a:xfrm>
        <a:prstGeom prst="roundRect">
          <a:avLst/>
        </a:prstGeom>
        <a:solidFill>
          <a:srgbClr val="00B0F0"/>
        </a:solidFill>
        <a:ln w="9525" cap="flat" cmpd="sng" algn="ctr">
          <a:solidFill>
            <a:srgbClr val="00B0F0"/>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rgbClr val="0000CC"/>
              </a:solidFill>
              <a:latin typeface="Arial" pitchFamily="34" charset="0"/>
              <a:cs typeface="Arial" pitchFamily="34" charset="0"/>
            </a:rPr>
            <a:t>Menu</a:t>
          </a:r>
          <a:endParaRPr lang="pt-BR" sz="1000" b="1">
            <a:solidFill>
              <a:srgbClr val="0000CC"/>
            </a:solidFill>
            <a:latin typeface="Arial" pitchFamily="34" charset="0"/>
            <a:ea typeface="+mn-ea"/>
            <a:cs typeface="Arial" pitchFamily="34" charset="0"/>
          </a:endParaRPr>
        </a:p>
      </xdr:txBody>
    </xdr:sp>
    <xdr:clientData fPrintsWithSheet="0"/>
  </xdr:twoCellAnchor>
  <xdr:twoCellAnchor editAs="oneCell">
    <xdr:from>
      <xdr:col>10</xdr:col>
      <xdr:colOff>9525</xdr:colOff>
      <xdr:row>5</xdr:row>
      <xdr:rowOff>495300</xdr:rowOff>
    </xdr:from>
    <xdr:to>
      <xdr:col>11</xdr:col>
      <xdr:colOff>127350</xdr:colOff>
      <xdr:row>7</xdr:row>
      <xdr:rowOff>259425</xdr:rowOff>
    </xdr:to>
    <xdr:sp macro="[0]!imprimir_ficha_de_acompanhamento" textlink="">
      <xdr:nvSpPr>
        <xdr:cNvPr id="18" name="Retângulo de cantos arredondados 17">
          <a:extLst>
            <a:ext uri="{FF2B5EF4-FFF2-40B4-BE49-F238E27FC236}">
              <a16:creationId xmlns:a16="http://schemas.microsoft.com/office/drawing/2014/main" id="{00000000-0008-0000-0500-000012000000}"/>
            </a:ext>
          </a:extLst>
        </xdr:cNvPr>
        <xdr:cNvSpPr/>
      </xdr:nvSpPr>
      <xdr:spPr bwMode="auto">
        <a:xfrm>
          <a:off x="7067550" y="1590675"/>
          <a:ext cx="756000" cy="288000"/>
        </a:xfrm>
        <a:prstGeom prst="roundRect">
          <a:avLst/>
        </a:prstGeom>
        <a:solidFill>
          <a:srgbClr val="00CC00"/>
        </a:solidFill>
        <a:ln w="9525" cap="flat" cmpd="sng" algn="ctr">
          <a:solidFill>
            <a:srgbClr val="00CC00"/>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en-US" sz="1000" b="1" i="0" u="none" strike="noStrike">
              <a:solidFill>
                <a:schemeClr val="bg1"/>
              </a:solidFill>
              <a:latin typeface="+mn-lt"/>
              <a:cs typeface="Calibri"/>
            </a:rPr>
            <a:t> Imprimir</a:t>
          </a:r>
        </a:p>
      </xdr:txBody>
    </xdr:sp>
    <xdr:clientData fPrintsWithSheet="0"/>
  </xdr:twoCellAnchor>
  <xdr:twoCellAnchor>
    <xdr:from>
      <xdr:col>10</xdr:col>
      <xdr:colOff>9523</xdr:colOff>
      <xdr:row>0</xdr:row>
      <xdr:rowOff>19049</xdr:rowOff>
    </xdr:from>
    <xdr:to>
      <xdr:col>10</xdr:col>
      <xdr:colOff>621523</xdr:colOff>
      <xdr:row>1</xdr:row>
      <xdr:rowOff>44549</xdr:rowOff>
    </xdr:to>
    <xdr:sp macro="[0]!ir_para_OP" textlink="">
      <xdr:nvSpPr>
        <xdr:cNvPr id="19" name="Retângulo de cantos arredondados 18">
          <a:extLst>
            <a:ext uri="{FF2B5EF4-FFF2-40B4-BE49-F238E27FC236}">
              <a16:creationId xmlns:a16="http://schemas.microsoft.com/office/drawing/2014/main" id="{00000000-0008-0000-0500-000013000000}"/>
            </a:ext>
          </a:extLst>
        </xdr:cNvPr>
        <xdr:cNvSpPr/>
      </xdr:nvSpPr>
      <xdr:spPr>
        <a:xfrm>
          <a:off x="7067548" y="19049"/>
          <a:ext cx="612000" cy="216000"/>
        </a:xfrm>
        <a:prstGeom prst="roundRect">
          <a:avLst/>
        </a:prstGeom>
        <a:solidFill>
          <a:schemeClr val="bg1">
            <a:lumMod val="75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r>
            <a:rPr lang="pt-BR" sz="1000" b="1">
              <a:solidFill>
                <a:srgbClr val="0000CC"/>
              </a:solidFill>
              <a:latin typeface="+mn-lt"/>
            </a:rPr>
            <a:t>Nº OP :</a:t>
          </a:r>
        </a:p>
      </xdr:txBody>
    </xdr:sp>
    <xdr:clientData/>
  </xdr:twoCellAnchor>
  <xdr:twoCellAnchor editAs="oneCell">
    <xdr:from>
      <xdr:col>16</xdr:col>
      <xdr:colOff>57149</xdr:colOff>
      <xdr:row>4</xdr:row>
      <xdr:rowOff>9525</xdr:rowOff>
    </xdr:from>
    <xdr:to>
      <xdr:col>19</xdr:col>
      <xdr:colOff>37274</xdr:colOff>
      <xdr:row>4</xdr:row>
      <xdr:rowOff>189525</xdr:rowOff>
    </xdr:to>
    <xdr:sp macro="[0]!limpar_simulação_na_ficha_acompanhamento" textlink="">
      <xdr:nvSpPr>
        <xdr:cNvPr id="20" name="Retângulo de cantos arredondados 19">
          <a:extLst>
            <a:ext uri="{FF2B5EF4-FFF2-40B4-BE49-F238E27FC236}">
              <a16:creationId xmlns:a16="http://schemas.microsoft.com/office/drawing/2014/main" id="{00000000-0008-0000-0500-000014000000}"/>
            </a:ext>
          </a:extLst>
        </xdr:cNvPr>
        <xdr:cNvSpPr>
          <a:spLocks/>
        </xdr:cNvSpPr>
      </xdr:nvSpPr>
      <xdr:spPr>
        <a:xfrm>
          <a:off x="10772774" y="866775"/>
          <a:ext cx="504000" cy="180000"/>
        </a:xfrm>
        <a:prstGeom prst="roundRect">
          <a:avLst/>
        </a:prstGeom>
        <a:solidFill>
          <a:srgbClr val="FF0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5"/>
        </a:lnRef>
        <a:fillRef idx="3">
          <a:schemeClr val="accent5"/>
        </a:fillRef>
        <a:effectRef idx="3">
          <a:schemeClr val="accent5"/>
        </a:effectRef>
        <a:fontRef idx="minor">
          <a:schemeClr val="lt1"/>
        </a:fontRef>
      </xdr:style>
      <xdr:txBody>
        <a:bodyPr vertOverflow="clip" rtlCol="0" anchor="ctr"/>
        <a:lstStyle/>
        <a:p>
          <a:pPr algn="ctr"/>
          <a:r>
            <a:rPr lang="pt-BR" sz="800" b="1">
              <a:latin typeface="+mn-lt"/>
              <a:cs typeface="Arial" pitchFamily="34" charset="0"/>
            </a:rPr>
            <a:t>Limpar</a:t>
          </a:r>
        </a:p>
      </xdr:txBody>
    </xdr:sp>
    <xdr:clientData fPrintsWithSheet="0"/>
  </xdr:twoCellAnchor>
  <xdr:twoCellAnchor editAs="oneCell">
    <xdr:from>
      <xdr:col>11</xdr:col>
      <xdr:colOff>219075</xdr:colOff>
      <xdr:row>5</xdr:row>
      <xdr:rowOff>123825</xdr:rowOff>
    </xdr:from>
    <xdr:to>
      <xdr:col>12</xdr:col>
      <xdr:colOff>420525</xdr:colOff>
      <xdr:row>5</xdr:row>
      <xdr:rowOff>411825</xdr:rowOff>
    </xdr:to>
    <xdr:sp macro="[0]!ir_para_OP" textlink="">
      <xdr:nvSpPr>
        <xdr:cNvPr id="21" name="Retângulo de cantos arredondados 20">
          <a:extLst>
            <a:ext uri="{FF2B5EF4-FFF2-40B4-BE49-F238E27FC236}">
              <a16:creationId xmlns:a16="http://schemas.microsoft.com/office/drawing/2014/main" id="{00000000-0008-0000-0500-000015000000}"/>
            </a:ext>
          </a:extLst>
        </xdr:cNvPr>
        <xdr:cNvSpPr/>
      </xdr:nvSpPr>
      <xdr:spPr bwMode="auto">
        <a:xfrm>
          <a:off x="7924800" y="1219200"/>
          <a:ext cx="792000" cy="288000"/>
        </a:xfrm>
        <a:prstGeom prst="roundRect">
          <a:avLst/>
        </a:prstGeom>
        <a:solidFill>
          <a:schemeClr val="bg1">
            <a:lumMod val="85000"/>
          </a:schemeClr>
        </a:solidFill>
        <a:ln w="9525" cap="flat" cmpd="sng" algn="ctr">
          <a:solidFill>
            <a:schemeClr val="bg1">
              <a:lumMod val="85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chemeClr val="tx1">
                  <a:lumMod val="65000"/>
                  <a:lumOff val="35000"/>
                </a:schemeClr>
              </a:solidFill>
            </a:rPr>
            <a:t>Nova OP</a:t>
          </a:r>
        </a:p>
      </xdr:txBody>
    </xdr:sp>
    <xdr:clientData fPrintsWithSheet="0"/>
  </xdr:twoCellAnchor>
  <xdr:twoCellAnchor editAs="oneCell">
    <xdr:from>
      <xdr:col>11</xdr:col>
      <xdr:colOff>219075</xdr:colOff>
      <xdr:row>5</xdr:row>
      <xdr:rowOff>495300</xdr:rowOff>
    </xdr:from>
    <xdr:to>
      <xdr:col>12</xdr:col>
      <xdr:colOff>420525</xdr:colOff>
      <xdr:row>7</xdr:row>
      <xdr:rowOff>259425</xdr:rowOff>
    </xdr:to>
    <xdr:sp macro="[0]!ir_para_consulta_de_op" textlink="">
      <xdr:nvSpPr>
        <xdr:cNvPr id="22" name="Retângulo de cantos arredondados 21">
          <a:extLst>
            <a:ext uri="{FF2B5EF4-FFF2-40B4-BE49-F238E27FC236}">
              <a16:creationId xmlns:a16="http://schemas.microsoft.com/office/drawing/2014/main" id="{00000000-0008-0000-0500-000016000000}"/>
            </a:ext>
          </a:extLst>
        </xdr:cNvPr>
        <xdr:cNvSpPr/>
      </xdr:nvSpPr>
      <xdr:spPr bwMode="auto">
        <a:xfrm>
          <a:off x="7924800" y="1590675"/>
          <a:ext cx="792000" cy="288000"/>
        </a:xfrm>
        <a:prstGeom prst="roundRect">
          <a:avLst/>
        </a:prstGeom>
        <a:solidFill>
          <a:schemeClr val="accent5">
            <a:lumMod val="60000"/>
            <a:lumOff val="40000"/>
          </a:schemeClr>
        </a:solidFill>
        <a:ln w="9525" cap="flat" cmpd="sng" algn="ctr">
          <a:solidFill>
            <a:schemeClr val="accent5">
              <a:lumMod val="60000"/>
              <a:lumOff val="4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rgbClr val="0070C0"/>
              </a:solidFill>
            </a:rPr>
            <a:t>Consultar OP</a:t>
          </a:r>
        </a:p>
      </xdr:txBody>
    </xdr:sp>
    <xdr:clientData fPrintsWithSheet="0"/>
  </xdr:twoCellAnchor>
  <xdr:twoCellAnchor editAs="oneCell">
    <xdr:from>
      <xdr:col>5</xdr:col>
      <xdr:colOff>47625</xdr:colOff>
      <xdr:row>5</xdr:row>
      <xdr:rowOff>266699</xdr:rowOff>
    </xdr:from>
    <xdr:to>
      <xdr:col>5</xdr:col>
      <xdr:colOff>515625</xdr:colOff>
      <xdr:row>5</xdr:row>
      <xdr:rowOff>446699</xdr:rowOff>
    </xdr:to>
    <xdr:sp macro="[0]!editar_observações_na_ficha_acompanhamento" textlink="">
      <xdr:nvSpPr>
        <xdr:cNvPr id="23" name="Retângulo de cantos arredondados 22">
          <a:extLst>
            <a:ext uri="{FF2B5EF4-FFF2-40B4-BE49-F238E27FC236}">
              <a16:creationId xmlns:a16="http://schemas.microsoft.com/office/drawing/2014/main" id="{00000000-0008-0000-0500-000017000000}"/>
            </a:ext>
          </a:extLst>
        </xdr:cNvPr>
        <xdr:cNvSpPr/>
      </xdr:nvSpPr>
      <xdr:spPr>
        <a:xfrm>
          <a:off x="4648200" y="1362074"/>
          <a:ext cx="468000" cy="180000"/>
        </a:xfrm>
        <a:prstGeom prst="roundRect">
          <a:avLst/>
        </a:prstGeom>
        <a:solidFill>
          <a:schemeClr val="tx2">
            <a:lumMod val="40000"/>
            <a:lumOff val="60000"/>
          </a:schemeClr>
        </a:solidFill>
        <a:ln>
          <a:solidFill>
            <a:schemeClr val="tx2">
              <a:lumMod val="40000"/>
              <a:lumOff val="60000"/>
            </a:schemeClr>
          </a:solidFill>
        </a:ln>
        <a:effectLst/>
        <a:scene3d>
          <a:camera prst="orthographicFront">
            <a:rot lat="0" lon="0" rev="0"/>
          </a:camera>
          <a:lightRig rig="contrasting" dir="t">
            <a:rot lat="0" lon="0" rev="7800000"/>
          </a:lightRig>
        </a:scene3d>
        <a:sp3d>
          <a:bevelT w="139700" h="139700"/>
        </a:sp3d>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pt-BR" sz="800">
              <a:solidFill>
                <a:srgbClr val="0000CC"/>
              </a:solidFill>
            </a:rPr>
            <a:t>Editar</a:t>
          </a:r>
        </a:p>
      </xdr:txBody>
    </xdr:sp>
    <xdr:clientData fPrintsWithSheet="0"/>
  </xdr:twoCellAnchor>
  <xdr:twoCellAnchor editAs="oneCell">
    <xdr:from>
      <xdr:col>16</xdr:col>
      <xdr:colOff>114300</xdr:colOff>
      <xdr:row>0</xdr:row>
      <xdr:rowOff>47625</xdr:rowOff>
    </xdr:from>
    <xdr:to>
      <xdr:col>16</xdr:col>
      <xdr:colOff>460628</xdr:colOff>
      <xdr:row>2</xdr:row>
      <xdr:rowOff>26625</xdr:rowOff>
    </xdr:to>
    <xdr:pic macro="[0]!tela_inteira">
      <xdr:nvPicPr>
        <xdr:cNvPr id="24" name="Imagem 23" descr="Botão tela inteira.jpg">
          <a:extLst>
            <a:ext uri="{FF2B5EF4-FFF2-40B4-BE49-F238E27FC236}">
              <a16:creationId xmlns:a16="http://schemas.microsoft.com/office/drawing/2014/main" id="{00000000-0008-0000-0500-000018000000}"/>
            </a:ext>
          </a:extLst>
        </xdr:cNvPr>
        <xdr:cNvPicPr>
          <a:picLocks noChangeAspect="1"/>
        </xdr:cNvPicPr>
      </xdr:nvPicPr>
      <xdr:blipFill>
        <a:blip xmlns:r="http://schemas.openxmlformats.org/officeDocument/2006/relationships" r:embed="rId1" cstate="print"/>
        <a:stretch>
          <a:fillRect/>
        </a:stretch>
      </xdr:blipFill>
      <xdr:spPr>
        <a:xfrm>
          <a:off x="10829925" y="47625"/>
          <a:ext cx="346328" cy="360000"/>
        </a:xfrm>
        <a:prstGeom prst="rect">
          <a:avLst/>
        </a:prstGeom>
      </xdr:spPr>
    </xdr:pic>
    <xdr:clientData/>
  </xdr:twoCellAnchor>
  <xdr:twoCellAnchor editAs="oneCell">
    <xdr:from>
      <xdr:col>15</xdr:col>
      <xdr:colOff>28575</xdr:colOff>
      <xdr:row>7</xdr:row>
      <xdr:rowOff>38100</xdr:rowOff>
    </xdr:from>
    <xdr:to>
      <xdr:col>16</xdr:col>
      <xdr:colOff>1425</xdr:colOff>
      <xdr:row>7</xdr:row>
      <xdr:rowOff>326100</xdr:rowOff>
    </xdr:to>
    <xdr:sp macro="[0]!desmarcar_todos_não_em_ficha_acompanhamento" textlink="">
      <xdr:nvSpPr>
        <xdr:cNvPr id="25" name="Retângulo de cantos arredondados 24">
          <a:extLst>
            <a:ext uri="{FF2B5EF4-FFF2-40B4-BE49-F238E27FC236}">
              <a16:creationId xmlns:a16="http://schemas.microsoft.com/office/drawing/2014/main" id="{00000000-0008-0000-0500-000019000000}"/>
            </a:ext>
          </a:extLst>
        </xdr:cNvPr>
        <xdr:cNvSpPr/>
      </xdr:nvSpPr>
      <xdr:spPr bwMode="auto">
        <a:xfrm>
          <a:off x="9925050" y="1657350"/>
          <a:ext cx="792000" cy="288000"/>
        </a:xfrm>
        <a:prstGeom prst="roundRect">
          <a:avLst/>
        </a:prstGeom>
        <a:solidFill>
          <a:schemeClr val="bg1">
            <a:lumMod val="65000"/>
          </a:schemeClr>
        </a:solidFill>
        <a:ln w="9525" cap="flat" cmpd="sng" algn="ctr">
          <a:solidFill>
            <a:schemeClr val="bg1">
              <a:lumMod val="65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800" b="1">
              <a:solidFill>
                <a:schemeClr val="tx1">
                  <a:lumMod val="65000"/>
                  <a:lumOff val="35000"/>
                </a:schemeClr>
              </a:solidFill>
              <a:latin typeface="Arial" pitchFamily="34" charset="0"/>
              <a:cs typeface="Arial" pitchFamily="34" charset="0"/>
            </a:rPr>
            <a:t>Desmarcar</a:t>
          </a:r>
        </a:p>
        <a:p>
          <a:pPr algn="ctr"/>
          <a:r>
            <a:rPr lang="pt-BR" sz="800" b="1">
              <a:solidFill>
                <a:schemeClr val="tx1">
                  <a:lumMod val="65000"/>
                  <a:lumOff val="35000"/>
                </a:schemeClr>
              </a:solidFill>
              <a:latin typeface="Arial" pitchFamily="34" charset="0"/>
              <a:cs typeface="Arial" pitchFamily="34" charset="0"/>
            </a:rPr>
            <a:t>todas</a:t>
          </a:r>
          <a:r>
            <a:rPr lang="pt-BR" sz="800" b="1" baseline="0">
              <a:solidFill>
                <a:schemeClr val="tx1">
                  <a:lumMod val="65000"/>
                  <a:lumOff val="35000"/>
                </a:schemeClr>
              </a:solidFill>
              <a:latin typeface="Arial" pitchFamily="34" charset="0"/>
              <a:cs typeface="Arial" pitchFamily="34" charset="0"/>
            </a:rPr>
            <a:t> Oper.</a:t>
          </a:r>
          <a:endParaRPr lang="pt-BR" sz="800" b="1">
            <a:solidFill>
              <a:schemeClr val="tx1">
                <a:lumMod val="65000"/>
                <a:lumOff val="35000"/>
              </a:schemeClr>
            </a:solidFill>
            <a:latin typeface="Arial" pitchFamily="34" charset="0"/>
            <a:cs typeface="Arial" pitchFamily="34" charset="0"/>
          </a:endParaRPr>
        </a:p>
      </xdr:txBody>
    </xdr:sp>
    <xdr:clientData fPrintsWithSheet="0"/>
  </xdr:twoCellAnchor>
  <mc:AlternateContent xmlns:mc="http://schemas.openxmlformats.org/markup-compatibility/2006">
    <mc:Choice xmlns:a14="http://schemas.microsoft.com/office/drawing/2010/main" Requires="a14">
      <xdr:twoCellAnchor editAs="oneCell">
        <xdr:from>
          <xdr:col>15</xdr:col>
          <xdr:colOff>66675</xdr:colOff>
          <xdr:row>5</xdr:row>
          <xdr:rowOff>9525</xdr:rowOff>
        </xdr:from>
        <xdr:to>
          <xdr:col>15</xdr:col>
          <xdr:colOff>771525</xdr:colOff>
          <xdr:row>5</xdr:row>
          <xdr:rowOff>228600</xdr:rowOff>
        </xdr:to>
        <xdr:sp macro="" textlink="">
          <xdr:nvSpPr>
            <xdr:cNvPr id="15361" name="Check Box 1" hidden="1">
              <a:extLst>
                <a:ext uri="{63B3BB69-23CF-44E3-9099-C40C66FF867C}">
                  <a14:compatExt spid="_x0000_s15361"/>
                </a:ext>
                <a:ext uri="{FF2B5EF4-FFF2-40B4-BE49-F238E27FC236}">
                  <a16:creationId xmlns:a16="http://schemas.microsoft.com/office/drawing/2014/main" id="{00000000-0008-0000-0500-0000013C0000}"/>
                </a:ext>
              </a:extLst>
            </xdr:cNvPr>
            <xdr:cNvSpPr/>
          </xdr:nvSpPr>
          <xdr:spPr bwMode="auto">
            <a:xfrm>
              <a:off x="0" y="0"/>
              <a:ext cx="0" cy="0"/>
            </a:xfrm>
            <a:prstGeom prst="rect">
              <a:avLst/>
            </a:prstGeom>
            <a:solidFill>
              <a:srgbClr val="FFFF00" mc:Ignorable="a14" a14:legacySpreadsheetColorIndex="13"/>
            </a:solidFill>
            <a:ln>
              <a:noFill/>
            </a:ln>
            <a:extLst>
              <a:ext uri="{91240B29-F687-4F45-9708-019B960494DF}">
                <a14:hiddenLine w="9525">
                  <a:solidFill>
                    <a:srgbClr val="FF0000" mc:Ignorable="a14" a14:legacySpreadsheetColorIndex="10"/>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  Simular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800100</xdr:colOff>
          <xdr:row>5</xdr:row>
          <xdr:rowOff>9525</xdr:rowOff>
        </xdr:from>
        <xdr:to>
          <xdr:col>31</xdr:col>
          <xdr:colOff>47625</xdr:colOff>
          <xdr:row>5</xdr:row>
          <xdr:rowOff>228600</xdr:rowOff>
        </xdr:to>
        <xdr:sp macro="" textlink="">
          <xdr:nvSpPr>
            <xdr:cNvPr id="15373" name="Check Box 13" hidden="1">
              <a:extLst>
                <a:ext uri="{63B3BB69-23CF-44E3-9099-C40C66FF867C}">
                  <a14:compatExt spid="_x0000_s15373"/>
                </a:ext>
                <a:ext uri="{FF2B5EF4-FFF2-40B4-BE49-F238E27FC236}">
                  <a16:creationId xmlns:a16="http://schemas.microsoft.com/office/drawing/2014/main" id="{00000000-0008-0000-0500-00000D3C0000}"/>
                </a:ext>
              </a:extLst>
            </xdr:cNvPr>
            <xdr:cNvSpPr/>
          </xdr:nvSpPr>
          <xdr:spPr bwMode="auto">
            <a:xfrm>
              <a:off x="0" y="0"/>
              <a:ext cx="0" cy="0"/>
            </a:xfrm>
            <a:prstGeom prst="rect">
              <a:avLst/>
            </a:prstGeom>
            <a:solidFill>
              <a:srgbClr val="FF9900" mc:Ignorable="a14" a14:legacySpreadsheetColorIndex="52"/>
            </a:solidFill>
            <a:ln>
              <a:noFill/>
            </a:ln>
            <a:extLst>
              <a:ext uri="{91240B29-F687-4F45-9708-019B960494DF}">
                <a14:hiddenLine w="9525">
                  <a:solidFill>
                    <a:srgbClr val="FF0000" mc:Ignorable="a14" a14:legacySpreadsheetColorIndex="10"/>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 Retirar Tam. e Cor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8</xdr:row>
          <xdr:rowOff>66675</xdr:rowOff>
        </xdr:from>
        <xdr:to>
          <xdr:col>10</xdr:col>
          <xdr:colOff>266700</xdr:colOff>
          <xdr:row>8</xdr:row>
          <xdr:rowOff>285750</xdr:rowOff>
        </xdr:to>
        <xdr:sp macro="" textlink="">
          <xdr:nvSpPr>
            <xdr:cNvPr id="15384" name="Check Box 24" hidden="1">
              <a:extLst>
                <a:ext uri="{63B3BB69-23CF-44E3-9099-C40C66FF867C}">
                  <a14:compatExt spid="_x0000_s15384"/>
                </a:ext>
                <a:ext uri="{FF2B5EF4-FFF2-40B4-BE49-F238E27FC236}">
                  <a16:creationId xmlns:a16="http://schemas.microsoft.com/office/drawing/2014/main" id="{00000000-0008-0000-0500-000018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9</xdr:row>
          <xdr:rowOff>66675</xdr:rowOff>
        </xdr:from>
        <xdr:to>
          <xdr:col>10</xdr:col>
          <xdr:colOff>266700</xdr:colOff>
          <xdr:row>9</xdr:row>
          <xdr:rowOff>285750</xdr:rowOff>
        </xdr:to>
        <xdr:sp macro="" textlink="">
          <xdr:nvSpPr>
            <xdr:cNvPr id="15392" name="Check Box 32" hidden="1">
              <a:extLst>
                <a:ext uri="{63B3BB69-23CF-44E3-9099-C40C66FF867C}">
                  <a14:compatExt spid="_x0000_s15392"/>
                </a:ext>
                <a:ext uri="{FF2B5EF4-FFF2-40B4-BE49-F238E27FC236}">
                  <a16:creationId xmlns:a16="http://schemas.microsoft.com/office/drawing/2014/main" id="{00000000-0008-0000-0500-000020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10</xdr:row>
          <xdr:rowOff>66675</xdr:rowOff>
        </xdr:from>
        <xdr:to>
          <xdr:col>10</xdr:col>
          <xdr:colOff>266700</xdr:colOff>
          <xdr:row>10</xdr:row>
          <xdr:rowOff>285750</xdr:rowOff>
        </xdr:to>
        <xdr:sp macro="" textlink="">
          <xdr:nvSpPr>
            <xdr:cNvPr id="15393" name="Check Box 33" hidden="1">
              <a:extLst>
                <a:ext uri="{63B3BB69-23CF-44E3-9099-C40C66FF867C}">
                  <a14:compatExt spid="_x0000_s15393"/>
                </a:ext>
                <a:ext uri="{FF2B5EF4-FFF2-40B4-BE49-F238E27FC236}">
                  <a16:creationId xmlns:a16="http://schemas.microsoft.com/office/drawing/2014/main" id="{00000000-0008-0000-0500-000021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11</xdr:row>
          <xdr:rowOff>66675</xdr:rowOff>
        </xdr:from>
        <xdr:to>
          <xdr:col>10</xdr:col>
          <xdr:colOff>266700</xdr:colOff>
          <xdr:row>11</xdr:row>
          <xdr:rowOff>285750</xdr:rowOff>
        </xdr:to>
        <xdr:sp macro="" textlink="">
          <xdr:nvSpPr>
            <xdr:cNvPr id="15394" name="Check Box 34" hidden="1">
              <a:extLst>
                <a:ext uri="{63B3BB69-23CF-44E3-9099-C40C66FF867C}">
                  <a14:compatExt spid="_x0000_s15394"/>
                </a:ext>
                <a:ext uri="{FF2B5EF4-FFF2-40B4-BE49-F238E27FC236}">
                  <a16:creationId xmlns:a16="http://schemas.microsoft.com/office/drawing/2014/main" id="{00000000-0008-0000-0500-000022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12</xdr:row>
          <xdr:rowOff>66675</xdr:rowOff>
        </xdr:from>
        <xdr:to>
          <xdr:col>10</xdr:col>
          <xdr:colOff>266700</xdr:colOff>
          <xdr:row>12</xdr:row>
          <xdr:rowOff>285750</xdr:rowOff>
        </xdr:to>
        <xdr:sp macro="" textlink="">
          <xdr:nvSpPr>
            <xdr:cNvPr id="15395" name="Check Box 35" hidden="1">
              <a:extLst>
                <a:ext uri="{63B3BB69-23CF-44E3-9099-C40C66FF867C}">
                  <a14:compatExt spid="_x0000_s15395"/>
                </a:ext>
                <a:ext uri="{FF2B5EF4-FFF2-40B4-BE49-F238E27FC236}">
                  <a16:creationId xmlns:a16="http://schemas.microsoft.com/office/drawing/2014/main" id="{00000000-0008-0000-0500-000023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13</xdr:row>
          <xdr:rowOff>66675</xdr:rowOff>
        </xdr:from>
        <xdr:to>
          <xdr:col>10</xdr:col>
          <xdr:colOff>266700</xdr:colOff>
          <xdr:row>13</xdr:row>
          <xdr:rowOff>285750</xdr:rowOff>
        </xdr:to>
        <xdr:sp macro="" textlink="">
          <xdr:nvSpPr>
            <xdr:cNvPr id="15396" name="Check Box 36" hidden="1">
              <a:extLst>
                <a:ext uri="{63B3BB69-23CF-44E3-9099-C40C66FF867C}">
                  <a14:compatExt spid="_x0000_s15396"/>
                </a:ext>
                <a:ext uri="{FF2B5EF4-FFF2-40B4-BE49-F238E27FC236}">
                  <a16:creationId xmlns:a16="http://schemas.microsoft.com/office/drawing/2014/main" id="{00000000-0008-0000-0500-000024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14</xdr:row>
          <xdr:rowOff>66675</xdr:rowOff>
        </xdr:from>
        <xdr:to>
          <xdr:col>10</xdr:col>
          <xdr:colOff>266700</xdr:colOff>
          <xdr:row>14</xdr:row>
          <xdr:rowOff>285750</xdr:rowOff>
        </xdr:to>
        <xdr:sp macro="" textlink="">
          <xdr:nvSpPr>
            <xdr:cNvPr id="15397" name="Check Box 37" hidden="1">
              <a:extLst>
                <a:ext uri="{63B3BB69-23CF-44E3-9099-C40C66FF867C}">
                  <a14:compatExt spid="_x0000_s15397"/>
                </a:ext>
                <a:ext uri="{FF2B5EF4-FFF2-40B4-BE49-F238E27FC236}">
                  <a16:creationId xmlns:a16="http://schemas.microsoft.com/office/drawing/2014/main" id="{00000000-0008-0000-0500-000025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15</xdr:row>
          <xdr:rowOff>66675</xdr:rowOff>
        </xdr:from>
        <xdr:to>
          <xdr:col>10</xdr:col>
          <xdr:colOff>266700</xdr:colOff>
          <xdr:row>15</xdr:row>
          <xdr:rowOff>285750</xdr:rowOff>
        </xdr:to>
        <xdr:sp macro="" textlink="">
          <xdr:nvSpPr>
            <xdr:cNvPr id="15398" name="Check Box 38" hidden="1">
              <a:extLst>
                <a:ext uri="{63B3BB69-23CF-44E3-9099-C40C66FF867C}">
                  <a14:compatExt spid="_x0000_s15398"/>
                </a:ext>
                <a:ext uri="{FF2B5EF4-FFF2-40B4-BE49-F238E27FC236}">
                  <a16:creationId xmlns:a16="http://schemas.microsoft.com/office/drawing/2014/main" id="{00000000-0008-0000-0500-000026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16</xdr:row>
          <xdr:rowOff>66675</xdr:rowOff>
        </xdr:from>
        <xdr:to>
          <xdr:col>10</xdr:col>
          <xdr:colOff>266700</xdr:colOff>
          <xdr:row>16</xdr:row>
          <xdr:rowOff>285750</xdr:rowOff>
        </xdr:to>
        <xdr:sp macro="" textlink="">
          <xdr:nvSpPr>
            <xdr:cNvPr id="15399" name="Check Box 39" hidden="1">
              <a:extLst>
                <a:ext uri="{63B3BB69-23CF-44E3-9099-C40C66FF867C}">
                  <a14:compatExt spid="_x0000_s15399"/>
                </a:ext>
                <a:ext uri="{FF2B5EF4-FFF2-40B4-BE49-F238E27FC236}">
                  <a16:creationId xmlns:a16="http://schemas.microsoft.com/office/drawing/2014/main" id="{00000000-0008-0000-0500-000027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17</xdr:row>
          <xdr:rowOff>66675</xdr:rowOff>
        </xdr:from>
        <xdr:to>
          <xdr:col>10</xdr:col>
          <xdr:colOff>266700</xdr:colOff>
          <xdr:row>17</xdr:row>
          <xdr:rowOff>285750</xdr:rowOff>
        </xdr:to>
        <xdr:sp macro="" textlink="">
          <xdr:nvSpPr>
            <xdr:cNvPr id="15400" name="Check Box 40" hidden="1">
              <a:extLst>
                <a:ext uri="{63B3BB69-23CF-44E3-9099-C40C66FF867C}">
                  <a14:compatExt spid="_x0000_s15400"/>
                </a:ext>
                <a:ext uri="{FF2B5EF4-FFF2-40B4-BE49-F238E27FC236}">
                  <a16:creationId xmlns:a16="http://schemas.microsoft.com/office/drawing/2014/main" id="{00000000-0008-0000-0500-000028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18</xdr:row>
          <xdr:rowOff>66675</xdr:rowOff>
        </xdr:from>
        <xdr:to>
          <xdr:col>10</xdr:col>
          <xdr:colOff>266700</xdr:colOff>
          <xdr:row>18</xdr:row>
          <xdr:rowOff>285750</xdr:rowOff>
        </xdr:to>
        <xdr:sp macro="" textlink="">
          <xdr:nvSpPr>
            <xdr:cNvPr id="15511" name="Check Box 151" hidden="1">
              <a:extLst>
                <a:ext uri="{63B3BB69-23CF-44E3-9099-C40C66FF867C}">
                  <a14:compatExt spid="_x0000_s15511"/>
                </a:ext>
                <a:ext uri="{FF2B5EF4-FFF2-40B4-BE49-F238E27FC236}">
                  <a16:creationId xmlns:a16="http://schemas.microsoft.com/office/drawing/2014/main" id="{00000000-0008-0000-0500-000097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19</xdr:row>
          <xdr:rowOff>66675</xdr:rowOff>
        </xdr:from>
        <xdr:to>
          <xdr:col>10</xdr:col>
          <xdr:colOff>266700</xdr:colOff>
          <xdr:row>19</xdr:row>
          <xdr:rowOff>285750</xdr:rowOff>
        </xdr:to>
        <xdr:sp macro="" textlink="">
          <xdr:nvSpPr>
            <xdr:cNvPr id="15512" name="Check Box 152" hidden="1">
              <a:extLst>
                <a:ext uri="{63B3BB69-23CF-44E3-9099-C40C66FF867C}">
                  <a14:compatExt spid="_x0000_s15512"/>
                </a:ext>
                <a:ext uri="{FF2B5EF4-FFF2-40B4-BE49-F238E27FC236}">
                  <a16:creationId xmlns:a16="http://schemas.microsoft.com/office/drawing/2014/main" id="{00000000-0008-0000-0500-000098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20</xdr:row>
          <xdr:rowOff>66675</xdr:rowOff>
        </xdr:from>
        <xdr:to>
          <xdr:col>10</xdr:col>
          <xdr:colOff>266700</xdr:colOff>
          <xdr:row>20</xdr:row>
          <xdr:rowOff>285750</xdr:rowOff>
        </xdr:to>
        <xdr:sp macro="" textlink="">
          <xdr:nvSpPr>
            <xdr:cNvPr id="15513" name="Check Box 153" hidden="1">
              <a:extLst>
                <a:ext uri="{63B3BB69-23CF-44E3-9099-C40C66FF867C}">
                  <a14:compatExt spid="_x0000_s15513"/>
                </a:ext>
                <a:ext uri="{FF2B5EF4-FFF2-40B4-BE49-F238E27FC236}">
                  <a16:creationId xmlns:a16="http://schemas.microsoft.com/office/drawing/2014/main" id="{00000000-0008-0000-0500-000099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21</xdr:row>
          <xdr:rowOff>66675</xdr:rowOff>
        </xdr:from>
        <xdr:to>
          <xdr:col>10</xdr:col>
          <xdr:colOff>266700</xdr:colOff>
          <xdr:row>21</xdr:row>
          <xdr:rowOff>285750</xdr:rowOff>
        </xdr:to>
        <xdr:sp macro="" textlink="">
          <xdr:nvSpPr>
            <xdr:cNvPr id="15514" name="Check Box 154" hidden="1">
              <a:extLst>
                <a:ext uri="{63B3BB69-23CF-44E3-9099-C40C66FF867C}">
                  <a14:compatExt spid="_x0000_s15514"/>
                </a:ext>
                <a:ext uri="{FF2B5EF4-FFF2-40B4-BE49-F238E27FC236}">
                  <a16:creationId xmlns:a16="http://schemas.microsoft.com/office/drawing/2014/main" id="{00000000-0008-0000-0500-00009A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22</xdr:row>
          <xdr:rowOff>66675</xdr:rowOff>
        </xdr:from>
        <xdr:to>
          <xdr:col>10</xdr:col>
          <xdr:colOff>266700</xdr:colOff>
          <xdr:row>22</xdr:row>
          <xdr:rowOff>285750</xdr:rowOff>
        </xdr:to>
        <xdr:sp macro="" textlink="">
          <xdr:nvSpPr>
            <xdr:cNvPr id="15515" name="Check Box 155" hidden="1">
              <a:extLst>
                <a:ext uri="{63B3BB69-23CF-44E3-9099-C40C66FF867C}">
                  <a14:compatExt spid="_x0000_s15515"/>
                </a:ext>
                <a:ext uri="{FF2B5EF4-FFF2-40B4-BE49-F238E27FC236}">
                  <a16:creationId xmlns:a16="http://schemas.microsoft.com/office/drawing/2014/main" id="{00000000-0008-0000-0500-00009B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23</xdr:row>
          <xdr:rowOff>66675</xdr:rowOff>
        </xdr:from>
        <xdr:to>
          <xdr:col>10</xdr:col>
          <xdr:colOff>266700</xdr:colOff>
          <xdr:row>23</xdr:row>
          <xdr:rowOff>285750</xdr:rowOff>
        </xdr:to>
        <xdr:sp macro="" textlink="">
          <xdr:nvSpPr>
            <xdr:cNvPr id="15516" name="Check Box 156" hidden="1">
              <a:extLst>
                <a:ext uri="{63B3BB69-23CF-44E3-9099-C40C66FF867C}">
                  <a14:compatExt spid="_x0000_s15516"/>
                </a:ext>
                <a:ext uri="{FF2B5EF4-FFF2-40B4-BE49-F238E27FC236}">
                  <a16:creationId xmlns:a16="http://schemas.microsoft.com/office/drawing/2014/main" id="{00000000-0008-0000-0500-00009C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24</xdr:row>
          <xdr:rowOff>66675</xdr:rowOff>
        </xdr:from>
        <xdr:to>
          <xdr:col>10</xdr:col>
          <xdr:colOff>266700</xdr:colOff>
          <xdr:row>24</xdr:row>
          <xdr:rowOff>285750</xdr:rowOff>
        </xdr:to>
        <xdr:sp macro="" textlink="">
          <xdr:nvSpPr>
            <xdr:cNvPr id="15517" name="Check Box 157" hidden="1">
              <a:extLst>
                <a:ext uri="{63B3BB69-23CF-44E3-9099-C40C66FF867C}">
                  <a14:compatExt spid="_x0000_s15517"/>
                </a:ext>
                <a:ext uri="{FF2B5EF4-FFF2-40B4-BE49-F238E27FC236}">
                  <a16:creationId xmlns:a16="http://schemas.microsoft.com/office/drawing/2014/main" id="{00000000-0008-0000-0500-00009D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25</xdr:row>
          <xdr:rowOff>66675</xdr:rowOff>
        </xdr:from>
        <xdr:to>
          <xdr:col>10</xdr:col>
          <xdr:colOff>266700</xdr:colOff>
          <xdr:row>25</xdr:row>
          <xdr:rowOff>285750</xdr:rowOff>
        </xdr:to>
        <xdr:sp macro="" textlink="">
          <xdr:nvSpPr>
            <xdr:cNvPr id="15518" name="Check Box 158" hidden="1">
              <a:extLst>
                <a:ext uri="{63B3BB69-23CF-44E3-9099-C40C66FF867C}">
                  <a14:compatExt spid="_x0000_s15518"/>
                </a:ext>
                <a:ext uri="{FF2B5EF4-FFF2-40B4-BE49-F238E27FC236}">
                  <a16:creationId xmlns:a16="http://schemas.microsoft.com/office/drawing/2014/main" id="{00000000-0008-0000-0500-00009E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26</xdr:row>
          <xdr:rowOff>66675</xdr:rowOff>
        </xdr:from>
        <xdr:to>
          <xdr:col>10</xdr:col>
          <xdr:colOff>266700</xdr:colOff>
          <xdr:row>26</xdr:row>
          <xdr:rowOff>285750</xdr:rowOff>
        </xdr:to>
        <xdr:sp macro="" textlink="">
          <xdr:nvSpPr>
            <xdr:cNvPr id="15519" name="Check Box 159" hidden="1">
              <a:extLst>
                <a:ext uri="{63B3BB69-23CF-44E3-9099-C40C66FF867C}">
                  <a14:compatExt spid="_x0000_s15519"/>
                </a:ext>
                <a:ext uri="{FF2B5EF4-FFF2-40B4-BE49-F238E27FC236}">
                  <a16:creationId xmlns:a16="http://schemas.microsoft.com/office/drawing/2014/main" id="{00000000-0008-0000-0500-00009F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27</xdr:row>
          <xdr:rowOff>66675</xdr:rowOff>
        </xdr:from>
        <xdr:to>
          <xdr:col>10</xdr:col>
          <xdr:colOff>266700</xdr:colOff>
          <xdr:row>27</xdr:row>
          <xdr:rowOff>285750</xdr:rowOff>
        </xdr:to>
        <xdr:sp macro="" textlink="">
          <xdr:nvSpPr>
            <xdr:cNvPr id="15520" name="Check Box 160" hidden="1">
              <a:extLst>
                <a:ext uri="{63B3BB69-23CF-44E3-9099-C40C66FF867C}">
                  <a14:compatExt spid="_x0000_s15520"/>
                </a:ext>
                <a:ext uri="{FF2B5EF4-FFF2-40B4-BE49-F238E27FC236}">
                  <a16:creationId xmlns:a16="http://schemas.microsoft.com/office/drawing/2014/main" id="{00000000-0008-0000-0500-0000A0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28</xdr:row>
          <xdr:rowOff>66675</xdr:rowOff>
        </xdr:from>
        <xdr:to>
          <xdr:col>10</xdr:col>
          <xdr:colOff>266700</xdr:colOff>
          <xdr:row>28</xdr:row>
          <xdr:rowOff>285750</xdr:rowOff>
        </xdr:to>
        <xdr:sp macro="" textlink="">
          <xdr:nvSpPr>
            <xdr:cNvPr id="15521" name="Check Box 161" hidden="1">
              <a:extLst>
                <a:ext uri="{63B3BB69-23CF-44E3-9099-C40C66FF867C}">
                  <a14:compatExt spid="_x0000_s15521"/>
                </a:ext>
                <a:ext uri="{FF2B5EF4-FFF2-40B4-BE49-F238E27FC236}">
                  <a16:creationId xmlns:a16="http://schemas.microsoft.com/office/drawing/2014/main" id="{00000000-0008-0000-0500-0000A1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29</xdr:row>
          <xdr:rowOff>66675</xdr:rowOff>
        </xdr:from>
        <xdr:to>
          <xdr:col>10</xdr:col>
          <xdr:colOff>266700</xdr:colOff>
          <xdr:row>29</xdr:row>
          <xdr:rowOff>285750</xdr:rowOff>
        </xdr:to>
        <xdr:sp macro="" textlink="">
          <xdr:nvSpPr>
            <xdr:cNvPr id="15522" name="Check Box 162" hidden="1">
              <a:extLst>
                <a:ext uri="{63B3BB69-23CF-44E3-9099-C40C66FF867C}">
                  <a14:compatExt spid="_x0000_s15522"/>
                </a:ext>
                <a:ext uri="{FF2B5EF4-FFF2-40B4-BE49-F238E27FC236}">
                  <a16:creationId xmlns:a16="http://schemas.microsoft.com/office/drawing/2014/main" id="{00000000-0008-0000-0500-0000A2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30</xdr:row>
          <xdr:rowOff>66675</xdr:rowOff>
        </xdr:from>
        <xdr:to>
          <xdr:col>10</xdr:col>
          <xdr:colOff>266700</xdr:colOff>
          <xdr:row>30</xdr:row>
          <xdr:rowOff>285750</xdr:rowOff>
        </xdr:to>
        <xdr:sp macro="" textlink="">
          <xdr:nvSpPr>
            <xdr:cNvPr id="15523" name="Check Box 163" hidden="1">
              <a:extLst>
                <a:ext uri="{63B3BB69-23CF-44E3-9099-C40C66FF867C}">
                  <a14:compatExt spid="_x0000_s15523"/>
                </a:ext>
                <a:ext uri="{FF2B5EF4-FFF2-40B4-BE49-F238E27FC236}">
                  <a16:creationId xmlns:a16="http://schemas.microsoft.com/office/drawing/2014/main" id="{00000000-0008-0000-0500-0000A3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31</xdr:row>
          <xdr:rowOff>66675</xdr:rowOff>
        </xdr:from>
        <xdr:to>
          <xdr:col>10</xdr:col>
          <xdr:colOff>266700</xdr:colOff>
          <xdr:row>31</xdr:row>
          <xdr:rowOff>285750</xdr:rowOff>
        </xdr:to>
        <xdr:sp macro="" textlink="">
          <xdr:nvSpPr>
            <xdr:cNvPr id="15524" name="Check Box 164" hidden="1">
              <a:extLst>
                <a:ext uri="{63B3BB69-23CF-44E3-9099-C40C66FF867C}">
                  <a14:compatExt spid="_x0000_s15524"/>
                </a:ext>
                <a:ext uri="{FF2B5EF4-FFF2-40B4-BE49-F238E27FC236}">
                  <a16:creationId xmlns:a16="http://schemas.microsoft.com/office/drawing/2014/main" id="{00000000-0008-0000-0500-0000A4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32</xdr:row>
          <xdr:rowOff>66675</xdr:rowOff>
        </xdr:from>
        <xdr:to>
          <xdr:col>10</xdr:col>
          <xdr:colOff>266700</xdr:colOff>
          <xdr:row>32</xdr:row>
          <xdr:rowOff>285750</xdr:rowOff>
        </xdr:to>
        <xdr:sp macro="" textlink="">
          <xdr:nvSpPr>
            <xdr:cNvPr id="15525" name="Check Box 165" hidden="1">
              <a:extLst>
                <a:ext uri="{63B3BB69-23CF-44E3-9099-C40C66FF867C}">
                  <a14:compatExt spid="_x0000_s15525"/>
                </a:ext>
                <a:ext uri="{FF2B5EF4-FFF2-40B4-BE49-F238E27FC236}">
                  <a16:creationId xmlns:a16="http://schemas.microsoft.com/office/drawing/2014/main" id="{00000000-0008-0000-0500-0000A5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33</xdr:row>
          <xdr:rowOff>66675</xdr:rowOff>
        </xdr:from>
        <xdr:to>
          <xdr:col>10</xdr:col>
          <xdr:colOff>266700</xdr:colOff>
          <xdr:row>33</xdr:row>
          <xdr:rowOff>285750</xdr:rowOff>
        </xdr:to>
        <xdr:sp macro="" textlink="">
          <xdr:nvSpPr>
            <xdr:cNvPr id="15526" name="Check Box 166" hidden="1">
              <a:extLst>
                <a:ext uri="{63B3BB69-23CF-44E3-9099-C40C66FF867C}">
                  <a14:compatExt spid="_x0000_s15526"/>
                </a:ext>
                <a:ext uri="{FF2B5EF4-FFF2-40B4-BE49-F238E27FC236}">
                  <a16:creationId xmlns:a16="http://schemas.microsoft.com/office/drawing/2014/main" id="{00000000-0008-0000-0500-0000A6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34</xdr:row>
          <xdr:rowOff>66675</xdr:rowOff>
        </xdr:from>
        <xdr:to>
          <xdr:col>10</xdr:col>
          <xdr:colOff>266700</xdr:colOff>
          <xdr:row>34</xdr:row>
          <xdr:rowOff>285750</xdr:rowOff>
        </xdr:to>
        <xdr:sp macro="" textlink="">
          <xdr:nvSpPr>
            <xdr:cNvPr id="15527" name="Check Box 167" hidden="1">
              <a:extLst>
                <a:ext uri="{63B3BB69-23CF-44E3-9099-C40C66FF867C}">
                  <a14:compatExt spid="_x0000_s15527"/>
                </a:ext>
                <a:ext uri="{FF2B5EF4-FFF2-40B4-BE49-F238E27FC236}">
                  <a16:creationId xmlns:a16="http://schemas.microsoft.com/office/drawing/2014/main" id="{00000000-0008-0000-0500-0000A7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35</xdr:row>
          <xdr:rowOff>66675</xdr:rowOff>
        </xdr:from>
        <xdr:to>
          <xdr:col>10</xdr:col>
          <xdr:colOff>266700</xdr:colOff>
          <xdr:row>35</xdr:row>
          <xdr:rowOff>285750</xdr:rowOff>
        </xdr:to>
        <xdr:sp macro="" textlink="">
          <xdr:nvSpPr>
            <xdr:cNvPr id="15528" name="Check Box 168" hidden="1">
              <a:extLst>
                <a:ext uri="{63B3BB69-23CF-44E3-9099-C40C66FF867C}">
                  <a14:compatExt spid="_x0000_s15528"/>
                </a:ext>
                <a:ext uri="{FF2B5EF4-FFF2-40B4-BE49-F238E27FC236}">
                  <a16:creationId xmlns:a16="http://schemas.microsoft.com/office/drawing/2014/main" id="{00000000-0008-0000-0500-0000A8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36</xdr:row>
          <xdr:rowOff>66675</xdr:rowOff>
        </xdr:from>
        <xdr:to>
          <xdr:col>10</xdr:col>
          <xdr:colOff>266700</xdr:colOff>
          <xdr:row>36</xdr:row>
          <xdr:rowOff>285750</xdr:rowOff>
        </xdr:to>
        <xdr:sp macro="" textlink="">
          <xdr:nvSpPr>
            <xdr:cNvPr id="15529" name="Check Box 169" hidden="1">
              <a:extLst>
                <a:ext uri="{63B3BB69-23CF-44E3-9099-C40C66FF867C}">
                  <a14:compatExt spid="_x0000_s15529"/>
                </a:ext>
                <a:ext uri="{FF2B5EF4-FFF2-40B4-BE49-F238E27FC236}">
                  <a16:creationId xmlns:a16="http://schemas.microsoft.com/office/drawing/2014/main" id="{00000000-0008-0000-0500-0000A9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37</xdr:row>
          <xdr:rowOff>66675</xdr:rowOff>
        </xdr:from>
        <xdr:to>
          <xdr:col>10</xdr:col>
          <xdr:colOff>266700</xdr:colOff>
          <xdr:row>37</xdr:row>
          <xdr:rowOff>285750</xdr:rowOff>
        </xdr:to>
        <xdr:sp macro="" textlink="">
          <xdr:nvSpPr>
            <xdr:cNvPr id="15530" name="Check Box 170" hidden="1">
              <a:extLst>
                <a:ext uri="{63B3BB69-23CF-44E3-9099-C40C66FF867C}">
                  <a14:compatExt spid="_x0000_s15530"/>
                </a:ext>
                <a:ext uri="{FF2B5EF4-FFF2-40B4-BE49-F238E27FC236}">
                  <a16:creationId xmlns:a16="http://schemas.microsoft.com/office/drawing/2014/main" id="{00000000-0008-0000-0500-0000AA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38</xdr:row>
          <xdr:rowOff>66675</xdr:rowOff>
        </xdr:from>
        <xdr:to>
          <xdr:col>10</xdr:col>
          <xdr:colOff>266700</xdr:colOff>
          <xdr:row>38</xdr:row>
          <xdr:rowOff>285750</xdr:rowOff>
        </xdr:to>
        <xdr:sp macro="" textlink="">
          <xdr:nvSpPr>
            <xdr:cNvPr id="15531" name="Check Box 171" hidden="1">
              <a:extLst>
                <a:ext uri="{63B3BB69-23CF-44E3-9099-C40C66FF867C}">
                  <a14:compatExt spid="_x0000_s15531"/>
                </a:ext>
                <a:ext uri="{FF2B5EF4-FFF2-40B4-BE49-F238E27FC236}">
                  <a16:creationId xmlns:a16="http://schemas.microsoft.com/office/drawing/2014/main" id="{00000000-0008-0000-0500-0000AB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39</xdr:row>
          <xdr:rowOff>66675</xdr:rowOff>
        </xdr:from>
        <xdr:to>
          <xdr:col>10</xdr:col>
          <xdr:colOff>266700</xdr:colOff>
          <xdr:row>39</xdr:row>
          <xdr:rowOff>285750</xdr:rowOff>
        </xdr:to>
        <xdr:sp macro="" textlink="">
          <xdr:nvSpPr>
            <xdr:cNvPr id="15532" name="Check Box 172" hidden="1">
              <a:extLst>
                <a:ext uri="{63B3BB69-23CF-44E3-9099-C40C66FF867C}">
                  <a14:compatExt spid="_x0000_s15532"/>
                </a:ext>
                <a:ext uri="{FF2B5EF4-FFF2-40B4-BE49-F238E27FC236}">
                  <a16:creationId xmlns:a16="http://schemas.microsoft.com/office/drawing/2014/main" id="{00000000-0008-0000-0500-0000AC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40</xdr:row>
          <xdr:rowOff>66675</xdr:rowOff>
        </xdr:from>
        <xdr:to>
          <xdr:col>10</xdr:col>
          <xdr:colOff>266700</xdr:colOff>
          <xdr:row>40</xdr:row>
          <xdr:rowOff>285750</xdr:rowOff>
        </xdr:to>
        <xdr:sp macro="" textlink="">
          <xdr:nvSpPr>
            <xdr:cNvPr id="15533" name="Check Box 173" hidden="1">
              <a:extLst>
                <a:ext uri="{63B3BB69-23CF-44E3-9099-C40C66FF867C}">
                  <a14:compatExt spid="_x0000_s15533"/>
                </a:ext>
                <a:ext uri="{FF2B5EF4-FFF2-40B4-BE49-F238E27FC236}">
                  <a16:creationId xmlns:a16="http://schemas.microsoft.com/office/drawing/2014/main" id="{00000000-0008-0000-0500-0000AD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41</xdr:row>
          <xdr:rowOff>66675</xdr:rowOff>
        </xdr:from>
        <xdr:to>
          <xdr:col>10</xdr:col>
          <xdr:colOff>266700</xdr:colOff>
          <xdr:row>41</xdr:row>
          <xdr:rowOff>285750</xdr:rowOff>
        </xdr:to>
        <xdr:sp macro="" textlink="">
          <xdr:nvSpPr>
            <xdr:cNvPr id="15534" name="Check Box 174" hidden="1">
              <a:extLst>
                <a:ext uri="{63B3BB69-23CF-44E3-9099-C40C66FF867C}">
                  <a14:compatExt spid="_x0000_s15534"/>
                </a:ext>
                <a:ext uri="{FF2B5EF4-FFF2-40B4-BE49-F238E27FC236}">
                  <a16:creationId xmlns:a16="http://schemas.microsoft.com/office/drawing/2014/main" id="{00000000-0008-0000-0500-0000AE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42</xdr:row>
          <xdr:rowOff>66675</xdr:rowOff>
        </xdr:from>
        <xdr:to>
          <xdr:col>10</xdr:col>
          <xdr:colOff>266700</xdr:colOff>
          <xdr:row>42</xdr:row>
          <xdr:rowOff>285750</xdr:rowOff>
        </xdr:to>
        <xdr:sp macro="" textlink="">
          <xdr:nvSpPr>
            <xdr:cNvPr id="15535" name="Check Box 175" hidden="1">
              <a:extLst>
                <a:ext uri="{63B3BB69-23CF-44E3-9099-C40C66FF867C}">
                  <a14:compatExt spid="_x0000_s15535"/>
                </a:ext>
                <a:ext uri="{FF2B5EF4-FFF2-40B4-BE49-F238E27FC236}">
                  <a16:creationId xmlns:a16="http://schemas.microsoft.com/office/drawing/2014/main" id="{00000000-0008-0000-0500-0000AF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43</xdr:row>
          <xdr:rowOff>66675</xdr:rowOff>
        </xdr:from>
        <xdr:to>
          <xdr:col>10</xdr:col>
          <xdr:colOff>266700</xdr:colOff>
          <xdr:row>43</xdr:row>
          <xdr:rowOff>285750</xdr:rowOff>
        </xdr:to>
        <xdr:sp macro="" textlink="">
          <xdr:nvSpPr>
            <xdr:cNvPr id="15536" name="Check Box 176" hidden="1">
              <a:extLst>
                <a:ext uri="{63B3BB69-23CF-44E3-9099-C40C66FF867C}">
                  <a14:compatExt spid="_x0000_s15536"/>
                </a:ext>
                <a:ext uri="{FF2B5EF4-FFF2-40B4-BE49-F238E27FC236}">
                  <a16:creationId xmlns:a16="http://schemas.microsoft.com/office/drawing/2014/main" id="{00000000-0008-0000-0500-0000B0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44</xdr:row>
          <xdr:rowOff>66675</xdr:rowOff>
        </xdr:from>
        <xdr:to>
          <xdr:col>10</xdr:col>
          <xdr:colOff>266700</xdr:colOff>
          <xdr:row>44</xdr:row>
          <xdr:rowOff>285750</xdr:rowOff>
        </xdr:to>
        <xdr:sp macro="" textlink="">
          <xdr:nvSpPr>
            <xdr:cNvPr id="15537" name="Check Box 177" hidden="1">
              <a:extLst>
                <a:ext uri="{63B3BB69-23CF-44E3-9099-C40C66FF867C}">
                  <a14:compatExt spid="_x0000_s15537"/>
                </a:ext>
                <a:ext uri="{FF2B5EF4-FFF2-40B4-BE49-F238E27FC236}">
                  <a16:creationId xmlns:a16="http://schemas.microsoft.com/office/drawing/2014/main" id="{00000000-0008-0000-0500-0000B1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45</xdr:row>
          <xdr:rowOff>66675</xdr:rowOff>
        </xdr:from>
        <xdr:to>
          <xdr:col>10</xdr:col>
          <xdr:colOff>266700</xdr:colOff>
          <xdr:row>45</xdr:row>
          <xdr:rowOff>285750</xdr:rowOff>
        </xdr:to>
        <xdr:sp macro="" textlink="">
          <xdr:nvSpPr>
            <xdr:cNvPr id="15538" name="Check Box 178" hidden="1">
              <a:extLst>
                <a:ext uri="{63B3BB69-23CF-44E3-9099-C40C66FF867C}">
                  <a14:compatExt spid="_x0000_s15538"/>
                </a:ext>
                <a:ext uri="{FF2B5EF4-FFF2-40B4-BE49-F238E27FC236}">
                  <a16:creationId xmlns:a16="http://schemas.microsoft.com/office/drawing/2014/main" id="{00000000-0008-0000-0500-0000B2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46</xdr:row>
          <xdr:rowOff>66675</xdr:rowOff>
        </xdr:from>
        <xdr:to>
          <xdr:col>10</xdr:col>
          <xdr:colOff>266700</xdr:colOff>
          <xdr:row>46</xdr:row>
          <xdr:rowOff>285750</xdr:rowOff>
        </xdr:to>
        <xdr:sp macro="" textlink="">
          <xdr:nvSpPr>
            <xdr:cNvPr id="15539" name="Check Box 179" hidden="1">
              <a:extLst>
                <a:ext uri="{63B3BB69-23CF-44E3-9099-C40C66FF867C}">
                  <a14:compatExt spid="_x0000_s15539"/>
                </a:ext>
                <a:ext uri="{FF2B5EF4-FFF2-40B4-BE49-F238E27FC236}">
                  <a16:creationId xmlns:a16="http://schemas.microsoft.com/office/drawing/2014/main" id="{00000000-0008-0000-0500-0000B3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47</xdr:row>
          <xdr:rowOff>66675</xdr:rowOff>
        </xdr:from>
        <xdr:to>
          <xdr:col>10</xdr:col>
          <xdr:colOff>266700</xdr:colOff>
          <xdr:row>47</xdr:row>
          <xdr:rowOff>285750</xdr:rowOff>
        </xdr:to>
        <xdr:sp macro="" textlink="">
          <xdr:nvSpPr>
            <xdr:cNvPr id="15540" name="Check Box 180" hidden="1">
              <a:extLst>
                <a:ext uri="{63B3BB69-23CF-44E3-9099-C40C66FF867C}">
                  <a14:compatExt spid="_x0000_s15540"/>
                </a:ext>
                <a:ext uri="{FF2B5EF4-FFF2-40B4-BE49-F238E27FC236}">
                  <a16:creationId xmlns:a16="http://schemas.microsoft.com/office/drawing/2014/main" id="{00000000-0008-0000-0500-0000B4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48</xdr:row>
          <xdr:rowOff>66675</xdr:rowOff>
        </xdr:from>
        <xdr:to>
          <xdr:col>10</xdr:col>
          <xdr:colOff>266700</xdr:colOff>
          <xdr:row>48</xdr:row>
          <xdr:rowOff>285750</xdr:rowOff>
        </xdr:to>
        <xdr:sp macro="" textlink="">
          <xdr:nvSpPr>
            <xdr:cNvPr id="15541" name="Check Box 181" hidden="1">
              <a:extLst>
                <a:ext uri="{63B3BB69-23CF-44E3-9099-C40C66FF867C}">
                  <a14:compatExt spid="_x0000_s15541"/>
                </a:ext>
                <a:ext uri="{FF2B5EF4-FFF2-40B4-BE49-F238E27FC236}">
                  <a16:creationId xmlns:a16="http://schemas.microsoft.com/office/drawing/2014/main" id="{00000000-0008-0000-0500-0000B5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49</xdr:row>
          <xdr:rowOff>66675</xdr:rowOff>
        </xdr:from>
        <xdr:to>
          <xdr:col>10</xdr:col>
          <xdr:colOff>266700</xdr:colOff>
          <xdr:row>49</xdr:row>
          <xdr:rowOff>285750</xdr:rowOff>
        </xdr:to>
        <xdr:sp macro="" textlink="">
          <xdr:nvSpPr>
            <xdr:cNvPr id="15542" name="Check Box 182" hidden="1">
              <a:extLst>
                <a:ext uri="{63B3BB69-23CF-44E3-9099-C40C66FF867C}">
                  <a14:compatExt spid="_x0000_s15542"/>
                </a:ext>
                <a:ext uri="{FF2B5EF4-FFF2-40B4-BE49-F238E27FC236}">
                  <a16:creationId xmlns:a16="http://schemas.microsoft.com/office/drawing/2014/main" id="{00000000-0008-0000-0500-0000B6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50</xdr:row>
          <xdr:rowOff>66675</xdr:rowOff>
        </xdr:from>
        <xdr:to>
          <xdr:col>10</xdr:col>
          <xdr:colOff>266700</xdr:colOff>
          <xdr:row>50</xdr:row>
          <xdr:rowOff>285750</xdr:rowOff>
        </xdr:to>
        <xdr:sp macro="" textlink="">
          <xdr:nvSpPr>
            <xdr:cNvPr id="15543" name="Check Box 183" hidden="1">
              <a:extLst>
                <a:ext uri="{63B3BB69-23CF-44E3-9099-C40C66FF867C}">
                  <a14:compatExt spid="_x0000_s15543"/>
                </a:ext>
                <a:ext uri="{FF2B5EF4-FFF2-40B4-BE49-F238E27FC236}">
                  <a16:creationId xmlns:a16="http://schemas.microsoft.com/office/drawing/2014/main" id="{00000000-0008-0000-0500-0000B7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51</xdr:row>
          <xdr:rowOff>66675</xdr:rowOff>
        </xdr:from>
        <xdr:to>
          <xdr:col>10</xdr:col>
          <xdr:colOff>266700</xdr:colOff>
          <xdr:row>51</xdr:row>
          <xdr:rowOff>285750</xdr:rowOff>
        </xdr:to>
        <xdr:sp macro="" textlink="">
          <xdr:nvSpPr>
            <xdr:cNvPr id="15544" name="Check Box 184" hidden="1">
              <a:extLst>
                <a:ext uri="{63B3BB69-23CF-44E3-9099-C40C66FF867C}">
                  <a14:compatExt spid="_x0000_s15544"/>
                </a:ext>
                <a:ext uri="{FF2B5EF4-FFF2-40B4-BE49-F238E27FC236}">
                  <a16:creationId xmlns:a16="http://schemas.microsoft.com/office/drawing/2014/main" id="{00000000-0008-0000-0500-0000B8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52</xdr:row>
          <xdr:rowOff>66675</xdr:rowOff>
        </xdr:from>
        <xdr:to>
          <xdr:col>10</xdr:col>
          <xdr:colOff>266700</xdr:colOff>
          <xdr:row>52</xdr:row>
          <xdr:rowOff>285750</xdr:rowOff>
        </xdr:to>
        <xdr:sp macro="" textlink="">
          <xdr:nvSpPr>
            <xdr:cNvPr id="15545" name="Check Box 185" hidden="1">
              <a:extLst>
                <a:ext uri="{63B3BB69-23CF-44E3-9099-C40C66FF867C}">
                  <a14:compatExt spid="_x0000_s15545"/>
                </a:ext>
                <a:ext uri="{FF2B5EF4-FFF2-40B4-BE49-F238E27FC236}">
                  <a16:creationId xmlns:a16="http://schemas.microsoft.com/office/drawing/2014/main" id="{00000000-0008-0000-0500-0000B9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53</xdr:row>
          <xdr:rowOff>66675</xdr:rowOff>
        </xdr:from>
        <xdr:to>
          <xdr:col>10</xdr:col>
          <xdr:colOff>266700</xdr:colOff>
          <xdr:row>53</xdr:row>
          <xdr:rowOff>285750</xdr:rowOff>
        </xdr:to>
        <xdr:sp macro="" textlink="">
          <xdr:nvSpPr>
            <xdr:cNvPr id="15546" name="Check Box 186" hidden="1">
              <a:extLst>
                <a:ext uri="{63B3BB69-23CF-44E3-9099-C40C66FF867C}">
                  <a14:compatExt spid="_x0000_s15546"/>
                </a:ext>
                <a:ext uri="{FF2B5EF4-FFF2-40B4-BE49-F238E27FC236}">
                  <a16:creationId xmlns:a16="http://schemas.microsoft.com/office/drawing/2014/main" id="{00000000-0008-0000-0500-0000BA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54</xdr:row>
          <xdr:rowOff>66675</xdr:rowOff>
        </xdr:from>
        <xdr:to>
          <xdr:col>10</xdr:col>
          <xdr:colOff>266700</xdr:colOff>
          <xdr:row>54</xdr:row>
          <xdr:rowOff>285750</xdr:rowOff>
        </xdr:to>
        <xdr:sp macro="" textlink="">
          <xdr:nvSpPr>
            <xdr:cNvPr id="15547" name="Check Box 187" hidden="1">
              <a:extLst>
                <a:ext uri="{63B3BB69-23CF-44E3-9099-C40C66FF867C}">
                  <a14:compatExt spid="_x0000_s15547"/>
                </a:ext>
                <a:ext uri="{FF2B5EF4-FFF2-40B4-BE49-F238E27FC236}">
                  <a16:creationId xmlns:a16="http://schemas.microsoft.com/office/drawing/2014/main" id="{00000000-0008-0000-0500-0000BB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55</xdr:row>
          <xdr:rowOff>66675</xdr:rowOff>
        </xdr:from>
        <xdr:to>
          <xdr:col>10</xdr:col>
          <xdr:colOff>266700</xdr:colOff>
          <xdr:row>55</xdr:row>
          <xdr:rowOff>285750</xdr:rowOff>
        </xdr:to>
        <xdr:sp macro="" textlink="">
          <xdr:nvSpPr>
            <xdr:cNvPr id="15548" name="Check Box 188" hidden="1">
              <a:extLst>
                <a:ext uri="{63B3BB69-23CF-44E3-9099-C40C66FF867C}">
                  <a14:compatExt spid="_x0000_s15548"/>
                </a:ext>
                <a:ext uri="{FF2B5EF4-FFF2-40B4-BE49-F238E27FC236}">
                  <a16:creationId xmlns:a16="http://schemas.microsoft.com/office/drawing/2014/main" id="{00000000-0008-0000-0500-0000BC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56</xdr:row>
          <xdr:rowOff>66675</xdr:rowOff>
        </xdr:from>
        <xdr:to>
          <xdr:col>10</xdr:col>
          <xdr:colOff>266700</xdr:colOff>
          <xdr:row>56</xdr:row>
          <xdr:rowOff>285750</xdr:rowOff>
        </xdr:to>
        <xdr:sp macro="" textlink="">
          <xdr:nvSpPr>
            <xdr:cNvPr id="15549" name="Check Box 189" hidden="1">
              <a:extLst>
                <a:ext uri="{63B3BB69-23CF-44E3-9099-C40C66FF867C}">
                  <a14:compatExt spid="_x0000_s15549"/>
                </a:ext>
                <a:ext uri="{FF2B5EF4-FFF2-40B4-BE49-F238E27FC236}">
                  <a16:creationId xmlns:a16="http://schemas.microsoft.com/office/drawing/2014/main" id="{00000000-0008-0000-0500-0000BD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57</xdr:row>
          <xdr:rowOff>66675</xdr:rowOff>
        </xdr:from>
        <xdr:to>
          <xdr:col>10</xdr:col>
          <xdr:colOff>266700</xdr:colOff>
          <xdr:row>57</xdr:row>
          <xdr:rowOff>285750</xdr:rowOff>
        </xdr:to>
        <xdr:sp macro="" textlink="">
          <xdr:nvSpPr>
            <xdr:cNvPr id="15550" name="Check Box 190" hidden="1">
              <a:extLst>
                <a:ext uri="{63B3BB69-23CF-44E3-9099-C40C66FF867C}">
                  <a14:compatExt spid="_x0000_s15550"/>
                </a:ext>
                <a:ext uri="{FF2B5EF4-FFF2-40B4-BE49-F238E27FC236}">
                  <a16:creationId xmlns:a16="http://schemas.microsoft.com/office/drawing/2014/main" id="{00000000-0008-0000-0500-0000BE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58</xdr:row>
          <xdr:rowOff>66675</xdr:rowOff>
        </xdr:from>
        <xdr:to>
          <xdr:col>10</xdr:col>
          <xdr:colOff>266700</xdr:colOff>
          <xdr:row>58</xdr:row>
          <xdr:rowOff>285750</xdr:rowOff>
        </xdr:to>
        <xdr:sp macro="" textlink="">
          <xdr:nvSpPr>
            <xdr:cNvPr id="15551" name="Check Box 191" hidden="1">
              <a:extLst>
                <a:ext uri="{63B3BB69-23CF-44E3-9099-C40C66FF867C}">
                  <a14:compatExt spid="_x0000_s15551"/>
                </a:ext>
                <a:ext uri="{FF2B5EF4-FFF2-40B4-BE49-F238E27FC236}">
                  <a16:creationId xmlns:a16="http://schemas.microsoft.com/office/drawing/2014/main" id="{00000000-0008-0000-0500-0000BF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59</xdr:row>
          <xdr:rowOff>66675</xdr:rowOff>
        </xdr:from>
        <xdr:to>
          <xdr:col>10</xdr:col>
          <xdr:colOff>266700</xdr:colOff>
          <xdr:row>59</xdr:row>
          <xdr:rowOff>285750</xdr:rowOff>
        </xdr:to>
        <xdr:sp macro="" textlink="">
          <xdr:nvSpPr>
            <xdr:cNvPr id="15552" name="Check Box 192" hidden="1">
              <a:extLst>
                <a:ext uri="{63B3BB69-23CF-44E3-9099-C40C66FF867C}">
                  <a14:compatExt spid="_x0000_s15552"/>
                </a:ext>
                <a:ext uri="{FF2B5EF4-FFF2-40B4-BE49-F238E27FC236}">
                  <a16:creationId xmlns:a16="http://schemas.microsoft.com/office/drawing/2014/main" id="{00000000-0008-0000-0500-0000C0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60</xdr:row>
          <xdr:rowOff>66675</xdr:rowOff>
        </xdr:from>
        <xdr:to>
          <xdr:col>10</xdr:col>
          <xdr:colOff>266700</xdr:colOff>
          <xdr:row>60</xdr:row>
          <xdr:rowOff>285750</xdr:rowOff>
        </xdr:to>
        <xdr:sp macro="" textlink="">
          <xdr:nvSpPr>
            <xdr:cNvPr id="15553" name="Check Box 193" hidden="1">
              <a:extLst>
                <a:ext uri="{63B3BB69-23CF-44E3-9099-C40C66FF867C}">
                  <a14:compatExt spid="_x0000_s15553"/>
                </a:ext>
                <a:ext uri="{FF2B5EF4-FFF2-40B4-BE49-F238E27FC236}">
                  <a16:creationId xmlns:a16="http://schemas.microsoft.com/office/drawing/2014/main" id="{00000000-0008-0000-0500-0000C1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61</xdr:row>
          <xdr:rowOff>66675</xdr:rowOff>
        </xdr:from>
        <xdr:to>
          <xdr:col>10</xdr:col>
          <xdr:colOff>266700</xdr:colOff>
          <xdr:row>61</xdr:row>
          <xdr:rowOff>285750</xdr:rowOff>
        </xdr:to>
        <xdr:sp macro="" textlink="">
          <xdr:nvSpPr>
            <xdr:cNvPr id="15554" name="Check Box 194" hidden="1">
              <a:extLst>
                <a:ext uri="{63B3BB69-23CF-44E3-9099-C40C66FF867C}">
                  <a14:compatExt spid="_x0000_s15554"/>
                </a:ext>
                <a:ext uri="{FF2B5EF4-FFF2-40B4-BE49-F238E27FC236}">
                  <a16:creationId xmlns:a16="http://schemas.microsoft.com/office/drawing/2014/main" id="{00000000-0008-0000-0500-0000C2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62</xdr:row>
          <xdr:rowOff>66675</xdr:rowOff>
        </xdr:from>
        <xdr:to>
          <xdr:col>10</xdr:col>
          <xdr:colOff>266700</xdr:colOff>
          <xdr:row>62</xdr:row>
          <xdr:rowOff>285750</xdr:rowOff>
        </xdr:to>
        <xdr:sp macro="" textlink="">
          <xdr:nvSpPr>
            <xdr:cNvPr id="15555" name="Check Box 195" hidden="1">
              <a:extLst>
                <a:ext uri="{63B3BB69-23CF-44E3-9099-C40C66FF867C}">
                  <a14:compatExt spid="_x0000_s15555"/>
                </a:ext>
                <a:ext uri="{FF2B5EF4-FFF2-40B4-BE49-F238E27FC236}">
                  <a16:creationId xmlns:a16="http://schemas.microsoft.com/office/drawing/2014/main" id="{00000000-0008-0000-0500-0000C3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63</xdr:row>
          <xdr:rowOff>66675</xdr:rowOff>
        </xdr:from>
        <xdr:to>
          <xdr:col>10</xdr:col>
          <xdr:colOff>266700</xdr:colOff>
          <xdr:row>63</xdr:row>
          <xdr:rowOff>285750</xdr:rowOff>
        </xdr:to>
        <xdr:sp macro="" textlink="">
          <xdr:nvSpPr>
            <xdr:cNvPr id="15556" name="Check Box 196" hidden="1">
              <a:extLst>
                <a:ext uri="{63B3BB69-23CF-44E3-9099-C40C66FF867C}">
                  <a14:compatExt spid="_x0000_s15556"/>
                </a:ext>
                <a:ext uri="{FF2B5EF4-FFF2-40B4-BE49-F238E27FC236}">
                  <a16:creationId xmlns:a16="http://schemas.microsoft.com/office/drawing/2014/main" id="{00000000-0008-0000-0500-0000C4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64</xdr:row>
          <xdr:rowOff>66675</xdr:rowOff>
        </xdr:from>
        <xdr:to>
          <xdr:col>10</xdr:col>
          <xdr:colOff>266700</xdr:colOff>
          <xdr:row>64</xdr:row>
          <xdr:rowOff>285750</xdr:rowOff>
        </xdr:to>
        <xdr:sp macro="" textlink="">
          <xdr:nvSpPr>
            <xdr:cNvPr id="15557" name="Check Box 197" hidden="1">
              <a:extLst>
                <a:ext uri="{63B3BB69-23CF-44E3-9099-C40C66FF867C}">
                  <a14:compatExt spid="_x0000_s15557"/>
                </a:ext>
                <a:ext uri="{FF2B5EF4-FFF2-40B4-BE49-F238E27FC236}">
                  <a16:creationId xmlns:a16="http://schemas.microsoft.com/office/drawing/2014/main" id="{00000000-0008-0000-0500-0000C5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65</xdr:row>
          <xdr:rowOff>66675</xdr:rowOff>
        </xdr:from>
        <xdr:to>
          <xdr:col>10</xdr:col>
          <xdr:colOff>266700</xdr:colOff>
          <xdr:row>65</xdr:row>
          <xdr:rowOff>285750</xdr:rowOff>
        </xdr:to>
        <xdr:sp macro="" textlink="">
          <xdr:nvSpPr>
            <xdr:cNvPr id="15558" name="Check Box 198" hidden="1">
              <a:extLst>
                <a:ext uri="{63B3BB69-23CF-44E3-9099-C40C66FF867C}">
                  <a14:compatExt spid="_x0000_s15558"/>
                </a:ext>
                <a:ext uri="{FF2B5EF4-FFF2-40B4-BE49-F238E27FC236}">
                  <a16:creationId xmlns:a16="http://schemas.microsoft.com/office/drawing/2014/main" id="{00000000-0008-0000-0500-0000C6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66</xdr:row>
          <xdr:rowOff>66675</xdr:rowOff>
        </xdr:from>
        <xdr:to>
          <xdr:col>10</xdr:col>
          <xdr:colOff>266700</xdr:colOff>
          <xdr:row>66</xdr:row>
          <xdr:rowOff>285750</xdr:rowOff>
        </xdr:to>
        <xdr:sp macro="" textlink="">
          <xdr:nvSpPr>
            <xdr:cNvPr id="15559" name="Check Box 199" hidden="1">
              <a:extLst>
                <a:ext uri="{63B3BB69-23CF-44E3-9099-C40C66FF867C}">
                  <a14:compatExt spid="_x0000_s15559"/>
                </a:ext>
                <a:ext uri="{FF2B5EF4-FFF2-40B4-BE49-F238E27FC236}">
                  <a16:creationId xmlns:a16="http://schemas.microsoft.com/office/drawing/2014/main" id="{00000000-0008-0000-0500-0000C7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67</xdr:row>
          <xdr:rowOff>66675</xdr:rowOff>
        </xdr:from>
        <xdr:to>
          <xdr:col>10</xdr:col>
          <xdr:colOff>266700</xdr:colOff>
          <xdr:row>67</xdr:row>
          <xdr:rowOff>285750</xdr:rowOff>
        </xdr:to>
        <xdr:sp macro="" textlink="">
          <xdr:nvSpPr>
            <xdr:cNvPr id="15560" name="Check Box 200" hidden="1">
              <a:extLst>
                <a:ext uri="{63B3BB69-23CF-44E3-9099-C40C66FF867C}">
                  <a14:compatExt spid="_x0000_s15560"/>
                </a:ext>
                <a:ext uri="{FF2B5EF4-FFF2-40B4-BE49-F238E27FC236}">
                  <a16:creationId xmlns:a16="http://schemas.microsoft.com/office/drawing/2014/main" id="{00000000-0008-0000-0500-0000C8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68</xdr:row>
          <xdr:rowOff>66675</xdr:rowOff>
        </xdr:from>
        <xdr:to>
          <xdr:col>10</xdr:col>
          <xdr:colOff>266700</xdr:colOff>
          <xdr:row>68</xdr:row>
          <xdr:rowOff>285750</xdr:rowOff>
        </xdr:to>
        <xdr:sp macro="" textlink="">
          <xdr:nvSpPr>
            <xdr:cNvPr id="15561" name="Check Box 201" hidden="1">
              <a:extLst>
                <a:ext uri="{63B3BB69-23CF-44E3-9099-C40C66FF867C}">
                  <a14:compatExt spid="_x0000_s15561"/>
                </a:ext>
                <a:ext uri="{FF2B5EF4-FFF2-40B4-BE49-F238E27FC236}">
                  <a16:creationId xmlns:a16="http://schemas.microsoft.com/office/drawing/2014/main" id="{00000000-0008-0000-0500-0000C9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69</xdr:row>
          <xdr:rowOff>66675</xdr:rowOff>
        </xdr:from>
        <xdr:to>
          <xdr:col>10</xdr:col>
          <xdr:colOff>266700</xdr:colOff>
          <xdr:row>69</xdr:row>
          <xdr:rowOff>285750</xdr:rowOff>
        </xdr:to>
        <xdr:sp macro="" textlink="">
          <xdr:nvSpPr>
            <xdr:cNvPr id="15562" name="Check Box 202" hidden="1">
              <a:extLst>
                <a:ext uri="{63B3BB69-23CF-44E3-9099-C40C66FF867C}">
                  <a14:compatExt spid="_x0000_s15562"/>
                </a:ext>
                <a:ext uri="{FF2B5EF4-FFF2-40B4-BE49-F238E27FC236}">
                  <a16:creationId xmlns:a16="http://schemas.microsoft.com/office/drawing/2014/main" id="{00000000-0008-0000-0500-0000CA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70</xdr:row>
          <xdr:rowOff>66675</xdr:rowOff>
        </xdr:from>
        <xdr:to>
          <xdr:col>10</xdr:col>
          <xdr:colOff>266700</xdr:colOff>
          <xdr:row>70</xdr:row>
          <xdr:rowOff>285750</xdr:rowOff>
        </xdr:to>
        <xdr:sp macro="" textlink="">
          <xdr:nvSpPr>
            <xdr:cNvPr id="15563" name="Check Box 203" hidden="1">
              <a:extLst>
                <a:ext uri="{63B3BB69-23CF-44E3-9099-C40C66FF867C}">
                  <a14:compatExt spid="_x0000_s15563"/>
                </a:ext>
                <a:ext uri="{FF2B5EF4-FFF2-40B4-BE49-F238E27FC236}">
                  <a16:creationId xmlns:a16="http://schemas.microsoft.com/office/drawing/2014/main" id="{00000000-0008-0000-0500-0000CB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71</xdr:row>
          <xdr:rowOff>66675</xdr:rowOff>
        </xdr:from>
        <xdr:to>
          <xdr:col>10</xdr:col>
          <xdr:colOff>266700</xdr:colOff>
          <xdr:row>71</xdr:row>
          <xdr:rowOff>285750</xdr:rowOff>
        </xdr:to>
        <xdr:sp macro="" textlink="">
          <xdr:nvSpPr>
            <xdr:cNvPr id="15564" name="Check Box 204" hidden="1">
              <a:extLst>
                <a:ext uri="{63B3BB69-23CF-44E3-9099-C40C66FF867C}">
                  <a14:compatExt spid="_x0000_s15564"/>
                </a:ext>
                <a:ext uri="{FF2B5EF4-FFF2-40B4-BE49-F238E27FC236}">
                  <a16:creationId xmlns:a16="http://schemas.microsoft.com/office/drawing/2014/main" id="{00000000-0008-0000-0500-0000CC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72</xdr:row>
          <xdr:rowOff>66675</xdr:rowOff>
        </xdr:from>
        <xdr:to>
          <xdr:col>10</xdr:col>
          <xdr:colOff>266700</xdr:colOff>
          <xdr:row>72</xdr:row>
          <xdr:rowOff>285750</xdr:rowOff>
        </xdr:to>
        <xdr:sp macro="" textlink="">
          <xdr:nvSpPr>
            <xdr:cNvPr id="15565" name="Check Box 205" hidden="1">
              <a:extLst>
                <a:ext uri="{63B3BB69-23CF-44E3-9099-C40C66FF867C}">
                  <a14:compatExt spid="_x0000_s15565"/>
                </a:ext>
                <a:ext uri="{FF2B5EF4-FFF2-40B4-BE49-F238E27FC236}">
                  <a16:creationId xmlns:a16="http://schemas.microsoft.com/office/drawing/2014/main" id="{00000000-0008-0000-0500-0000CD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73</xdr:row>
          <xdr:rowOff>66675</xdr:rowOff>
        </xdr:from>
        <xdr:to>
          <xdr:col>10</xdr:col>
          <xdr:colOff>266700</xdr:colOff>
          <xdr:row>73</xdr:row>
          <xdr:rowOff>285750</xdr:rowOff>
        </xdr:to>
        <xdr:sp macro="" textlink="">
          <xdr:nvSpPr>
            <xdr:cNvPr id="15566" name="Check Box 206" hidden="1">
              <a:extLst>
                <a:ext uri="{63B3BB69-23CF-44E3-9099-C40C66FF867C}">
                  <a14:compatExt spid="_x0000_s15566"/>
                </a:ext>
                <a:ext uri="{FF2B5EF4-FFF2-40B4-BE49-F238E27FC236}">
                  <a16:creationId xmlns:a16="http://schemas.microsoft.com/office/drawing/2014/main" id="{00000000-0008-0000-0500-0000CE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74</xdr:row>
          <xdr:rowOff>66675</xdr:rowOff>
        </xdr:from>
        <xdr:to>
          <xdr:col>10</xdr:col>
          <xdr:colOff>266700</xdr:colOff>
          <xdr:row>74</xdr:row>
          <xdr:rowOff>285750</xdr:rowOff>
        </xdr:to>
        <xdr:sp macro="" textlink="">
          <xdr:nvSpPr>
            <xdr:cNvPr id="15567" name="Check Box 207" hidden="1">
              <a:extLst>
                <a:ext uri="{63B3BB69-23CF-44E3-9099-C40C66FF867C}">
                  <a14:compatExt spid="_x0000_s15567"/>
                </a:ext>
                <a:ext uri="{FF2B5EF4-FFF2-40B4-BE49-F238E27FC236}">
                  <a16:creationId xmlns:a16="http://schemas.microsoft.com/office/drawing/2014/main" id="{00000000-0008-0000-0500-0000CF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75</xdr:row>
          <xdr:rowOff>66675</xdr:rowOff>
        </xdr:from>
        <xdr:to>
          <xdr:col>10</xdr:col>
          <xdr:colOff>266700</xdr:colOff>
          <xdr:row>75</xdr:row>
          <xdr:rowOff>285750</xdr:rowOff>
        </xdr:to>
        <xdr:sp macro="" textlink="">
          <xdr:nvSpPr>
            <xdr:cNvPr id="15568" name="Check Box 208" hidden="1">
              <a:extLst>
                <a:ext uri="{63B3BB69-23CF-44E3-9099-C40C66FF867C}">
                  <a14:compatExt spid="_x0000_s15568"/>
                </a:ext>
                <a:ext uri="{FF2B5EF4-FFF2-40B4-BE49-F238E27FC236}">
                  <a16:creationId xmlns:a16="http://schemas.microsoft.com/office/drawing/2014/main" id="{00000000-0008-0000-0500-0000D0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76</xdr:row>
          <xdr:rowOff>66675</xdr:rowOff>
        </xdr:from>
        <xdr:to>
          <xdr:col>10</xdr:col>
          <xdr:colOff>266700</xdr:colOff>
          <xdr:row>76</xdr:row>
          <xdr:rowOff>285750</xdr:rowOff>
        </xdr:to>
        <xdr:sp macro="" textlink="">
          <xdr:nvSpPr>
            <xdr:cNvPr id="15569" name="Check Box 209" hidden="1">
              <a:extLst>
                <a:ext uri="{63B3BB69-23CF-44E3-9099-C40C66FF867C}">
                  <a14:compatExt spid="_x0000_s15569"/>
                </a:ext>
                <a:ext uri="{FF2B5EF4-FFF2-40B4-BE49-F238E27FC236}">
                  <a16:creationId xmlns:a16="http://schemas.microsoft.com/office/drawing/2014/main" id="{00000000-0008-0000-0500-0000D1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77</xdr:row>
          <xdr:rowOff>66675</xdr:rowOff>
        </xdr:from>
        <xdr:to>
          <xdr:col>10</xdr:col>
          <xdr:colOff>266700</xdr:colOff>
          <xdr:row>77</xdr:row>
          <xdr:rowOff>285750</xdr:rowOff>
        </xdr:to>
        <xdr:sp macro="" textlink="">
          <xdr:nvSpPr>
            <xdr:cNvPr id="15570" name="Check Box 210" hidden="1">
              <a:extLst>
                <a:ext uri="{63B3BB69-23CF-44E3-9099-C40C66FF867C}">
                  <a14:compatExt spid="_x0000_s15570"/>
                </a:ext>
                <a:ext uri="{FF2B5EF4-FFF2-40B4-BE49-F238E27FC236}">
                  <a16:creationId xmlns:a16="http://schemas.microsoft.com/office/drawing/2014/main" id="{00000000-0008-0000-0500-0000D2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78</xdr:row>
          <xdr:rowOff>66675</xdr:rowOff>
        </xdr:from>
        <xdr:to>
          <xdr:col>10</xdr:col>
          <xdr:colOff>266700</xdr:colOff>
          <xdr:row>78</xdr:row>
          <xdr:rowOff>285750</xdr:rowOff>
        </xdr:to>
        <xdr:sp macro="" textlink="">
          <xdr:nvSpPr>
            <xdr:cNvPr id="15571" name="Check Box 211" hidden="1">
              <a:extLst>
                <a:ext uri="{63B3BB69-23CF-44E3-9099-C40C66FF867C}">
                  <a14:compatExt spid="_x0000_s15571"/>
                </a:ext>
                <a:ext uri="{FF2B5EF4-FFF2-40B4-BE49-F238E27FC236}">
                  <a16:creationId xmlns:a16="http://schemas.microsoft.com/office/drawing/2014/main" id="{00000000-0008-0000-0500-0000D3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79</xdr:row>
          <xdr:rowOff>66675</xdr:rowOff>
        </xdr:from>
        <xdr:to>
          <xdr:col>10</xdr:col>
          <xdr:colOff>266700</xdr:colOff>
          <xdr:row>79</xdr:row>
          <xdr:rowOff>285750</xdr:rowOff>
        </xdr:to>
        <xdr:sp macro="" textlink="">
          <xdr:nvSpPr>
            <xdr:cNvPr id="15572" name="Check Box 212" hidden="1">
              <a:extLst>
                <a:ext uri="{63B3BB69-23CF-44E3-9099-C40C66FF867C}">
                  <a14:compatExt spid="_x0000_s15572"/>
                </a:ext>
                <a:ext uri="{FF2B5EF4-FFF2-40B4-BE49-F238E27FC236}">
                  <a16:creationId xmlns:a16="http://schemas.microsoft.com/office/drawing/2014/main" id="{00000000-0008-0000-0500-0000D4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80</xdr:row>
          <xdr:rowOff>66675</xdr:rowOff>
        </xdr:from>
        <xdr:to>
          <xdr:col>10</xdr:col>
          <xdr:colOff>266700</xdr:colOff>
          <xdr:row>80</xdr:row>
          <xdr:rowOff>285750</xdr:rowOff>
        </xdr:to>
        <xdr:sp macro="" textlink="">
          <xdr:nvSpPr>
            <xdr:cNvPr id="15573" name="Check Box 213" hidden="1">
              <a:extLst>
                <a:ext uri="{63B3BB69-23CF-44E3-9099-C40C66FF867C}">
                  <a14:compatExt spid="_x0000_s15573"/>
                </a:ext>
                <a:ext uri="{FF2B5EF4-FFF2-40B4-BE49-F238E27FC236}">
                  <a16:creationId xmlns:a16="http://schemas.microsoft.com/office/drawing/2014/main" id="{00000000-0008-0000-0500-0000D5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81</xdr:row>
          <xdr:rowOff>66675</xdr:rowOff>
        </xdr:from>
        <xdr:to>
          <xdr:col>10</xdr:col>
          <xdr:colOff>266700</xdr:colOff>
          <xdr:row>81</xdr:row>
          <xdr:rowOff>285750</xdr:rowOff>
        </xdr:to>
        <xdr:sp macro="" textlink="">
          <xdr:nvSpPr>
            <xdr:cNvPr id="15574" name="Check Box 214" hidden="1">
              <a:extLst>
                <a:ext uri="{63B3BB69-23CF-44E3-9099-C40C66FF867C}">
                  <a14:compatExt spid="_x0000_s15574"/>
                </a:ext>
                <a:ext uri="{FF2B5EF4-FFF2-40B4-BE49-F238E27FC236}">
                  <a16:creationId xmlns:a16="http://schemas.microsoft.com/office/drawing/2014/main" id="{00000000-0008-0000-0500-0000D6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82</xdr:row>
          <xdr:rowOff>66675</xdr:rowOff>
        </xdr:from>
        <xdr:to>
          <xdr:col>10</xdr:col>
          <xdr:colOff>266700</xdr:colOff>
          <xdr:row>82</xdr:row>
          <xdr:rowOff>285750</xdr:rowOff>
        </xdr:to>
        <xdr:sp macro="" textlink="">
          <xdr:nvSpPr>
            <xdr:cNvPr id="15575" name="Check Box 215" hidden="1">
              <a:extLst>
                <a:ext uri="{63B3BB69-23CF-44E3-9099-C40C66FF867C}">
                  <a14:compatExt spid="_x0000_s15575"/>
                </a:ext>
                <a:ext uri="{FF2B5EF4-FFF2-40B4-BE49-F238E27FC236}">
                  <a16:creationId xmlns:a16="http://schemas.microsoft.com/office/drawing/2014/main" id="{00000000-0008-0000-0500-0000D7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83</xdr:row>
          <xdr:rowOff>66675</xdr:rowOff>
        </xdr:from>
        <xdr:to>
          <xdr:col>10</xdr:col>
          <xdr:colOff>266700</xdr:colOff>
          <xdr:row>83</xdr:row>
          <xdr:rowOff>285750</xdr:rowOff>
        </xdr:to>
        <xdr:sp macro="" textlink="">
          <xdr:nvSpPr>
            <xdr:cNvPr id="15576" name="Check Box 216" hidden="1">
              <a:extLst>
                <a:ext uri="{63B3BB69-23CF-44E3-9099-C40C66FF867C}">
                  <a14:compatExt spid="_x0000_s15576"/>
                </a:ext>
                <a:ext uri="{FF2B5EF4-FFF2-40B4-BE49-F238E27FC236}">
                  <a16:creationId xmlns:a16="http://schemas.microsoft.com/office/drawing/2014/main" id="{00000000-0008-0000-0500-0000D8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84</xdr:row>
          <xdr:rowOff>66675</xdr:rowOff>
        </xdr:from>
        <xdr:to>
          <xdr:col>10</xdr:col>
          <xdr:colOff>266700</xdr:colOff>
          <xdr:row>84</xdr:row>
          <xdr:rowOff>285750</xdr:rowOff>
        </xdr:to>
        <xdr:sp macro="" textlink="">
          <xdr:nvSpPr>
            <xdr:cNvPr id="15577" name="Check Box 217" hidden="1">
              <a:extLst>
                <a:ext uri="{63B3BB69-23CF-44E3-9099-C40C66FF867C}">
                  <a14:compatExt spid="_x0000_s15577"/>
                </a:ext>
                <a:ext uri="{FF2B5EF4-FFF2-40B4-BE49-F238E27FC236}">
                  <a16:creationId xmlns:a16="http://schemas.microsoft.com/office/drawing/2014/main" id="{00000000-0008-0000-0500-0000D9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85</xdr:row>
          <xdr:rowOff>66675</xdr:rowOff>
        </xdr:from>
        <xdr:to>
          <xdr:col>10</xdr:col>
          <xdr:colOff>266700</xdr:colOff>
          <xdr:row>85</xdr:row>
          <xdr:rowOff>285750</xdr:rowOff>
        </xdr:to>
        <xdr:sp macro="" textlink="">
          <xdr:nvSpPr>
            <xdr:cNvPr id="15578" name="Check Box 218" hidden="1">
              <a:extLst>
                <a:ext uri="{63B3BB69-23CF-44E3-9099-C40C66FF867C}">
                  <a14:compatExt spid="_x0000_s15578"/>
                </a:ext>
                <a:ext uri="{FF2B5EF4-FFF2-40B4-BE49-F238E27FC236}">
                  <a16:creationId xmlns:a16="http://schemas.microsoft.com/office/drawing/2014/main" id="{00000000-0008-0000-0500-0000DA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86</xdr:row>
          <xdr:rowOff>66675</xdr:rowOff>
        </xdr:from>
        <xdr:to>
          <xdr:col>10</xdr:col>
          <xdr:colOff>266700</xdr:colOff>
          <xdr:row>86</xdr:row>
          <xdr:rowOff>285750</xdr:rowOff>
        </xdr:to>
        <xdr:sp macro="" textlink="">
          <xdr:nvSpPr>
            <xdr:cNvPr id="15579" name="Check Box 219" hidden="1">
              <a:extLst>
                <a:ext uri="{63B3BB69-23CF-44E3-9099-C40C66FF867C}">
                  <a14:compatExt spid="_x0000_s15579"/>
                </a:ext>
                <a:ext uri="{FF2B5EF4-FFF2-40B4-BE49-F238E27FC236}">
                  <a16:creationId xmlns:a16="http://schemas.microsoft.com/office/drawing/2014/main" id="{00000000-0008-0000-0500-0000DB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87</xdr:row>
          <xdr:rowOff>66675</xdr:rowOff>
        </xdr:from>
        <xdr:to>
          <xdr:col>10</xdr:col>
          <xdr:colOff>266700</xdr:colOff>
          <xdr:row>87</xdr:row>
          <xdr:rowOff>285750</xdr:rowOff>
        </xdr:to>
        <xdr:sp macro="" textlink="">
          <xdr:nvSpPr>
            <xdr:cNvPr id="15580" name="Check Box 220" hidden="1">
              <a:extLst>
                <a:ext uri="{63B3BB69-23CF-44E3-9099-C40C66FF867C}">
                  <a14:compatExt spid="_x0000_s15580"/>
                </a:ext>
                <a:ext uri="{FF2B5EF4-FFF2-40B4-BE49-F238E27FC236}">
                  <a16:creationId xmlns:a16="http://schemas.microsoft.com/office/drawing/2014/main" id="{00000000-0008-0000-0500-0000DC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88</xdr:row>
          <xdr:rowOff>66675</xdr:rowOff>
        </xdr:from>
        <xdr:to>
          <xdr:col>10</xdr:col>
          <xdr:colOff>266700</xdr:colOff>
          <xdr:row>88</xdr:row>
          <xdr:rowOff>285750</xdr:rowOff>
        </xdr:to>
        <xdr:sp macro="" textlink="">
          <xdr:nvSpPr>
            <xdr:cNvPr id="15581" name="Check Box 221" hidden="1">
              <a:extLst>
                <a:ext uri="{63B3BB69-23CF-44E3-9099-C40C66FF867C}">
                  <a14:compatExt spid="_x0000_s15581"/>
                </a:ext>
                <a:ext uri="{FF2B5EF4-FFF2-40B4-BE49-F238E27FC236}">
                  <a16:creationId xmlns:a16="http://schemas.microsoft.com/office/drawing/2014/main" id="{00000000-0008-0000-0500-0000DD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89</xdr:row>
          <xdr:rowOff>66675</xdr:rowOff>
        </xdr:from>
        <xdr:to>
          <xdr:col>10</xdr:col>
          <xdr:colOff>266700</xdr:colOff>
          <xdr:row>89</xdr:row>
          <xdr:rowOff>285750</xdr:rowOff>
        </xdr:to>
        <xdr:sp macro="" textlink="">
          <xdr:nvSpPr>
            <xdr:cNvPr id="15582" name="Check Box 222" hidden="1">
              <a:extLst>
                <a:ext uri="{63B3BB69-23CF-44E3-9099-C40C66FF867C}">
                  <a14:compatExt spid="_x0000_s15582"/>
                </a:ext>
                <a:ext uri="{FF2B5EF4-FFF2-40B4-BE49-F238E27FC236}">
                  <a16:creationId xmlns:a16="http://schemas.microsoft.com/office/drawing/2014/main" id="{00000000-0008-0000-0500-0000DE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90</xdr:row>
          <xdr:rowOff>66675</xdr:rowOff>
        </xdr:from>
        <xdr:to>
          <xdr:col>10</xdr:col>
          <xdr:colOff>266700</xdr:colOff>
          <xdr:row>90</xdr:row>
          <xdr:rowOff>285750</xdr:rowOff>
        </xdr:to>
        <xdr:sp macro="" textlink="">
          <xdr:nvSpPr>
            <xdr:cNvPr id="15583" name="Check Box 223" hidden="1">
              <a:extLst>
                <a:ext uri="{63B3BB69-23CF-44E3-9099-C40C66FF867C}">
                  <a14:compatExt spid="_x0000_s15583"/>
                </a:ext>
                <a:ext uri="{FF2B5EF4-FFF2-40B4-BE49-F238E27FC236}">
                  <a16:creationId xmlns:a16="http://schemas.microsoft.com/office/drawing/2014/main" id="{00000000-0008-0000-0500-0000DF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91</xdr:row>
          <xdr:rowOff>66675</xdr:rowOff>
        </xdr:from>
        <xdr:to>
          <xdr:col>10</xdr:col>
          <xdr:colOff>266700</xdr:colOff>
          <xdr:row>91</xdr:row>
          <xdr:rowOff>285750</xdr:rowOff>
        </xdr:to>
        <xdr:sp macro="" textlink="">
          <xdr:nvSpPr>
            <xdr:cNvPr id="15584" name="Check Box 224" hidden="1">
              <a:extLst>
                <a:ext uri="{63B3BB69-23CF-44E3-9099-C40C66FF867C}">
                  <a14:compatExt spid="_x0000_s15584"/>
                </a:ext>
                <a:ext uri="{FF2B5EF4-FFF2-40B4-BE49-F238E27FC236}">
                  <a16:creationId xmlns:a16="http://schemas.microsoft.com/office/drawing/2014/main" id="{00000000-0008-0000-0500-0000E0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92</xdr:row>
          <xdr:rowOff>66675</xdr:rowOff>
        </xdr:from>
        <xdr:to>
          <xdr:col>10</xdr:col>
          <xdr:colOff>266700</xdr:colOff>
          <xdr:row>92</xdr:row>
          <xdr:rowOff>285750</xdr:rowOff>
        </xdr:to>
        <xdr:sp macro="" textlink="">
          <xdr:nvSpPr>
            <xdr:cNvPr id="15585" name="Check Box 225" hidden="1">
              <a:extLst>
                <a:ext uri="{63B3BB69-23CF-44E3-9099-C40C66FF867C}">
                  <a14:compatExt spid="_x0000_s15585"/>
                </a:ext>
                <a:ext uri="{FF2B5EF4-FFF2-40B4-BE49-F238E27FC236}">
                  <a16:creationId xmlns:a16="http://schemas.microsoft.com/office/drawing/2014/main" id="{00000000-0008-0000-0500-0000E1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93</xdr:row>
          <xdr:rowOff>66675</xdr:rowOff>
        </xdr:from>
        <xdr:to>
          <xdr:col>10</xdr:col>
          <xdr:colOff>266700</xdr:colOff>
          <xdr:row>93</xdr:row>
          <xdr:rowOff>285750</xdr:rowOff>
        </xdr:to>
        <xdr:sp macro="" textlink="">
          <xdr:nvSpPr>
            <xdr:cNvPr id="15586" name="Check Box 226" hidden="1">
              <a:extLst>
                <a:ext uri="{63B3BB69-23CF-44E3-9099-C40C66FF867C}">
                  <a14:compatExt spid="_x0000_s15586"/>
                </a:ext>
                <a:ext uri="{FF2B5EF4-FFF2-40B4-BE49-F238E27FC236}">
                  <a16:creationId xmlns:a16="http://schemas.microsoft.com/office/drawing/2014/main" id="{00000000-0008-0000-0500-0000E2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94</xdr:row>
          <xdr:rowOff>66675</xdr:rowOff>
        </xdr:from>
        <xdr:to>
          <xdr:col>10</xdr:col>
          <xdr:colOff>266700</xdr:colOff>
          <xdr:row>94</xdr:row>
          <xdr:rowOff>285750</xdr:rowOff>
        </xdr:to>
        <xdr:sp macro="" textlink="">
          <xdr:nvSpPr>
            <xdr:cNvPr id="15587" name="Check Box 227" hidden="1">
              <a:extLst>
                <a:ext uri="{63B3BB69-23CF-44E3-9099-C40C66FF867C}">
                  <a14:compatExt spid="_x0000_s15587"/>
                </a:ext>
                <a:ext uri="{FF2B5EF4-FFF2-40B4-BE49-F238E27FC236}">
                  <a16:creationId xmlns:a16="http://schemas.microsoft.com/office/drawing/2014/main" id="{00000000-0008-0000-0500-0000E3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95</xdr:row>
          <xdr:rowOff>66675</xdr:rowOff>
        </xdr:from>
        <xdr:to>
          <xdr:col>10</xdr:col>
          <xdr:colOff>266700</xdr:colOff>
          <xdr:row>95</xdr:row>
          <xdr:rowOff>285750</xdr:rowOff>
        </xdr:to>
        <xdr:sp macro="" textlink="">
          <xdr:nvSpPr>
            <xdr:cNvPr id="15588" name="Check Box 228" hidden="1">
              <a:extLst>
                <a:ext uri="{63B3BB69-23CF-44E3-9099-C40C66FF867C}">
                  <a14:compatExt spid="_x0000_s15588"/>
                </a:ext>
                <a:ext uri="{FF2B5EF4-FFF2-40B4-BE49-F238E27FC236}">
                  <a16:creationId xmlns:a16="http://schemas.microsoft.com/office/drawing/2014/main" id="{00000000-0008-0000-0500-0000E4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96</xdr:row>
          <xdr:rowOff>66675</xdr:rowOff>
        </xdr:from>
        <xdr:to>
          <xdr:col>10</xdr:col>
          <xdr:colOff>266700</xdr:colOff>
          <xdr:row>96</xdr:row>
          <xdr:rowOff>285750</xdr:rowOff>
        </xdr:to>
        <xdr:sp macro="" textlink="">
          <xdr:nvSpPr>
            <xdr:cNvPr id="15589" name="Check Box 229" hidden="1">
              <a:extLst>
                <a:ext uri="{63B3BB69-23CF-44E3-9099-C40C66FF867C}">
                  <a14:compatExt spid="_x0000_s15589"/>
                </a:ext>
                <a:ext uri="{FF2B5EF4-FFF2-40B4-BE49-F238E27FC236}">
                  <a16:creationId xmlns:a16="http://schemas.microsoft.com/office/drawing/2014/main" id="{00000000-0008-0000-0500-0000E5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97</xdr:row>
          <xdr:rowOff>66675</xdr:rowOff>
        </xdr:from>
        <xdr:to>
          <xdr:col>10</xdr:col>
          <xdr:colOff>266700</xdr:colOff>
          <xdr:row>97</xdr:row>
          <xdr:rowOff>285750</xdr:rowOff>
        </xdr:to>
        <xdr:sp macro="" textlink="">
          <xdr:nvSpPr>
            <xdr:cNvPr id="15590" name="Check Box 230" hidden="1">
              <a:extLst>
                <a:ext uri="{63B3BB69-23CF-44E3-9099-C40C66FF867C}">
                  <a14:compatExt spid="_x0000_s15590"/>
                </a:ext>
                <a:ext uri="{FF2B5EF4-FFF2-40B4-BE49-F238E27FC236}">
                  <a16:creationId xmlns:a16="http://schemas.microsoft.com/office/drawing/2014/main" id="{00000000-0008-0000-0500-0000E6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98</xdr:row>
          <xdr:rowOff>66675</xdr:rowOff>
        </xdr:from>
        <xdr:to>
          <xdr:col>10</xdr:col>
          <xdr:colOff>266700</xdr:colOff>
          <xdr:row>98</xdr:row>
          <xdr:rowOff>285750</xdr:rowOff>
        </xdr:to>
        <xdr:sp macro="" textlink="">
          <xdr:nvSpPr>
            <xdr:cNvPr id="15591" name="Check Box 231" hidden="1">
              <a:extLst>
                <a:ext uri="{63B3BB69-23CF-44E3-9099-C40C66FF867C}">
                  <a14:compatExt spid="_x0000_s15591"/>
                </a:ext>
                <a:ext uri="{FF2B5EF4-FFF2-40B4-BE49-F238E27FC236}">
                  <a16:creationId xmlns:a16="http://schemas.microsoft.com/office/drawing/2014/main" id="{00000000-0008-0000-0500-0000E7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99</xdr:row>
          <xdr:rowOff>66675</xdr:rowOff>
        </xdr:from>
        <xdr:to>
          <xdr:col>10</xdr:col>
          <xdr:colOff>266700</xdr:colOff>
          <xdr:row>99</xdr:row>
          <xdr:rowOff>285750</xdr:rowOff>
        </xdr:to>
        <xdr:sp macro="" textlink="">
          <xdr:nvSpPr>
            <xdr:cNvPr id="15592" name="Check Box 232" hidden="1">
              <a:extLst>
                <a:ext uri="{63B3BB69-23CF-44E3-9099-C40C66FF867C}">
                  <a14:compatExt spid="_x0000_s15592"/>
                </a:ext>
                <a:ext uri="{FF2B5EF4-FFF2-40B4-BE49-F238E27FC236}">
                  <a16:creationId xmlns:a16="http://schemas.microsoft.com/office/drawing/2014/main" id="{00000000-0008-0000-0500-0000E8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100</xdr:row>
          <xdr:rowOff>66675</xdr:rowOff>
        </xdr:from>
        <xdr:to>
          <xdr:col>10</xdr:col>
          <xdr:colOff>266700</xdr:colOff>
          <xdr:row>100</xdr:row>
          <xdr:rowOff>285750</xdr:rowOff>
        </xdr:to>
        <xdr:sp macro="" textlink="">
          <xdr:nvSpPr>
            <xdr:cNvPr id="15593" name="Check Box 233" hidden="1">
              <a:extLst>
                <a:ext uri="{63B3BB69-23CF-44E3-9099-C40C66FF867C}">
                  <a14:compatExt spid="_x0000_s15593"/>
                </a:ext>
                <a:ext uri="{FF2B5EF4-FFF2-40B4-BE49-F238E27FC236}">
                  <a16:creationId xmlns:a16="http://schemas.microsoft.com/office/drawing/2014/main" id="{00000000-0008-0000-0500-0000E9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101</xdr:row>
          <xdr:rowOff>66675</xdr:rowOff>
        </xdr:from>
        <xdr:to>
          <xdr:col>10</xdr:col>
          <xdr:colOff>266700</xdr:colOff>
          <xdr:row>101</xdr:row>
          <xdr:rowOff>285750</xdr:rowOff>
        </xdr:to>
        <xdr:sp macro="" textlink="">
          <xdr:nvSpPr>
            <xdr:cNvPr id="15594" name="Check Box 234" hidden="1">
              <a:extLst>
                <a:ext uri="{63B3BB69-23CF-44E3-9099-C40C66FF867C}">
                  <a14:compatExt spid="_x0000_s15594"/>
                </a:ext>
                <a:ext uri="{FF2B5EF4-FFF2-40B4-BE49-F238E27FC236}">
                  <a16:creationId xmlns:a16="http://schemas.microsoft.com/office/drawing/2014/main" id="{00000000-0008-0000-0500-0000EA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102</xdr:row>
          <xdr:rowOff>66675</xdr:rowOff>
        </xdr:from>
        <xdr:to>
          <xdr:col>10</xdr:col>
          <xdr:colOff>266700</xdr:colOff>
          <xdr:row>102</xdr:row>
          <xdr:rowOff>285750</xdr:rowOff>
        </xdr:to>
        <xdr:sp macro="" textlink="">
          <xdr:nvSpPr>
            <xdr:cNvPr id="15595" name="Check Box 235" hidden="1">
              <a:extLst>
                <a:ext uri="{63B3BB69-23CF-44E3-9099-C40C66FF867C}">
                  <a14:compatExt spid="_x0000_s15595"/>
                </a:ext>
                <a:ext uri="{FF2B5EF4-FFF2-40B4-BE49-F238E27FC236}">
                  <a16:creationId xmlns:a16="http://schemas.microsoft.com/office/drawing/2014/main" id="{00000000-0008-0000-0500-0000EB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103</xdr:row>
          <xdr:rowOff>66675</xdr:rowOff>
        </xdr:from>
        <xdr:to>
          <xdr:col>10</xdr:col>
          <xdr:colOff>266700</xdr:colOff>
          <xdr:row>103</xdr:row>
          <xdr:rowOff>285750</xdr:rowOff>
        </xdr:to>
        <xdr:sp macro="" textlink="">
          <xdr:nvSpPr>
            <xdr:cNvPr id="15596" name="Check Box 236" hidden="1">
              <a:extLst>
                <a:ext uri="{63B3BB69-23CF-44E3-9099-C40C66FF867C}">
                  <a14:compatExt spid="_x0000_s15596"/>
                </a:ext>
                <a:ext uri="{FF2B5EF4-FFF2-40B4-BE49-F238E27FC236}">
                  <a16:creationId xmlns:a16="http://schemas.microsoft.com/office/drawing/2014/main" id="{00000000-0008-0000-0500-0000EC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104</xdr:row>
          <xdr:rowOff>66675</xdr:rowOff>
        </xdr:from>
        <xdr:to>
          <xdr:col>10</xdr:col>
          <xdr:colOff>266700</xdr:colOff>
          <xdr:row>104</xdr:row>
          <xdr:rowOff>285750</xdr:rowOff>
        </xdr:to>
        <xdr:sp macro="" textlink="">
          <xdr:nvSpPr>
            <xdr:cNvPr id="15597" name="Check Box 237" hidden="1">
              <a:extLst>
                <a:ext uri="{63B3BB69-23CF-44E3-9099-C40C66FF867C}">
                  <a14:compatExt spid="_x0000_s15597"/>
                </a:ext>
                <a:ext uri="{FF2B5EF4-FFF2-40B4-BE49-F238E27FC236}">
                  <a16:creationId xmlns:a16="http://schemas.microsoft.com/office/drawing/2014/main" id="{00000000-0008-0000-0500-0000ED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105</xdr:row>
          <xdr:rowOff>66675</xdr:rowOff>
        </xdr:from>
        <xdr:to>
          <xdr:col>10</xdr:col>
          <xdr:colOff>266700</xdr:colOff>
          <xdr:row>105</xdr:row>
          <xdr:rowOff>285750</xdr:rowOff>
        </xdr:to>
        <xdr:sp macro="" textlink="">
          <xdr:nvSpPr>
            <xdr:cNvPr id="15598" name="Check Box 238" hidden="1">
              <a:extLst>
                <a:ext uri="{63B3BB69-23CF-44E3-9099-C40C66FF867C}">
                  <a14:compatExt spid="_x0000_s15598"/>
                </a:ext>
                <a:ext uri="{FF2B5EF4-FFF2-40B4-BE49-F238E27FC236}">
                  <a16:creationId xmlns:a16="http://schemas.microsoft.com/office/drawing/2014/main" id="{00000000-0008-0000-0500-0000EE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106</xdr:row>
          <xdr:rowOff>66675</xdr:rowOff>
        </xdr:from>
        <xdr:to>
          <xdr:col>10</xdr:col>
          <xdr:colOff>266700</xdr:colOff>
          <xdr:row>106</xdr:row>
          <xdr:rowOff>285750</xdr:rowOff>
        </xdr:to>
        <xdr:sp macro="" textlink="">
          <xdr:nvSpPr>
            <xdr:cNvPr id="15599" name="Check Box 239" hidden="1">
              <a:extLst>
                <a:ext uri="{63B3BB69-23CF-44E3-9099-C40C66FF867C}">
                  <a14:compatExt spid="_x0000_s15599"/>
                </a:ext>
                <a:ext uri="{FF2B5EF4-FFF2-40B4-BE49-F238E27FC236}">
                  <a16:creationId xmlns:a16="http://schemas.microsoft.com/office/drawing/2014/main" id="{00000000-0008-0000-0500-0000EF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107</xdr:row>
          <xdr:rowOff>66675</xdr:rowOff>
        </xdr:from>
        <xdr:to>
          <xdr:col>10</xdr:col>
          <xdr:colOff>266700</xdr:colOff>
          <xdr:row>107</xdr:row>
          <xdr:rowOff>285750</xdr:rowOff>
        </xdr:to>
        <xdr:sp macro="" textlink="">
          <xdr:nvSpPr>
            <xdr:cNvPr id="15600" name="Check Box 240" hidden="1">
              <a:extLst>
                <a:ext uri="{63B3BB69-23CF-44E3-9099-C40C66FF867C}">
                  <a14:compatExt spid="_x0000_s15600"/>
                </a:ext>
                <a:ext uri="{FF2B5EF4-FFF2-40B4-BE49-F238E27FC236}">
                  <a16:creationId xmlns:a16="http://schemas.microsoft.com/office/drawing/2014/main" id="{00000000-0008-0000-0500-0000F0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108</xdr:row>
          <xdr:rowOff>66675</xdr:rowOff>
        </xdr:from>
        <xdr:to>
          <xdr:col>10</xdr:col>
          <xdr:colOff>266700</xdr:colOff>
          <xdr:row>108</xdr:row>
          <xdr:rowOff>285750</xdr:rowOff>
        </xdr:to>
        <xdr:sp macro="" textlink="">
          <xdr:nvSpPr>
            <xdr:cNvPr id="15601" name="Check Box 241" hidden="1">
              <a:extLst>
                <a:ext uri="{63B3BB69-23CF-44E3-9099-C40C66FF867C}">
                  <a14:compatExt spid="_x0000_s15601"/>
                </a:ext>
                <a:ext uri="{FF2B5EF4-FFF2-40B4-BE49-F238E27FC236}">
                  <a16:creationId xmlns:a16="http://schemas.microsoft.com/office/drawing/2014/main" id="{00000000-0008-0000-0500-0000F1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109</xdr:row>
          <xdr:rowOff>66675</xdr:rowOff>
        </xdr:from>
        <xdr:to>
          <xdr:col>10</xdr:col>
          <xdr:colOff>266700</xdr:colOff>
          <xdr:row>109</xdr:row>
          <xdr:rowOff>285750</xdr:rowOff>
        </xdr:to>
        <xdr:sp macro="" textlink="">
          <xdr:nvSpPr>
            <xdr:cNvPr id="15602" name="Check Box 242" hidden="1">
              <a:extLst>
                <a:ext uri="{63B3BB69-23CF-44E3-9099-C40C66FF867C}">
                  <a14:compatExt spid="_x0000_s15602"/>
                </a:ext>
                <a:ext uri="{FF2B5EF4-FFF2-40B4-BE49-F238E27FC236}">
                  <a16:creationId xmlns:a16="http://schemas.microsoft.com/office/drawing/2014/main" id="{00000000-0008-0000-0500-0000F2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110</xdr:row>
          <xdr:rowOff>66675</xdr:rowOff>
        </xdr:from>
        <xdr:to>
          <xdr:col>10</xdr:col>
          <xdr:colOff>266700</xdr:colOff>
          <xdr:row>110</xdr:row>
          <xdr:rowOff>285750</xdr:rowOff>
        </xdr:to>
        <xdr:sp macro="" textlink="">
          <xdr:nvSpPr>
            <xdr:cNvPr id="15603" name="Check Box 243" hidden="1">
              <a:extLst>
                <a:ext uri="{63B3BB69-23CF-44E3-9099-C40C66FF867C}">
                  <a14:compatExt spid="_x0000_s15603"/>
                </a:ext>
                <a:ext uri="{FF2B5EF4-FFF2-40B4-BE49-F238E27FC236}">
                  <a16:creationId xmlns:a16="http://schemas.microsoft.com/office/drawing/2014/main" id="{00000000-0008-0000-0500-0000F3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111</xdr:row>
          <xdr:rowOff>66675</xdr:rowOff>
        </xdr:from>
        <xdr:to>
          <xdr:col>10</xdr:col>
          <xdr:colOff>266700</xdr:colOff>
          <xdr:row>111</xdr:row>
          <xdr:rowOff>285750</xdr:rowOff>
        </xdr:to>
        <xdr:sp macro="" textlink="">
          <xdr:nvSpPr>
            <xdr:cNvPr id="15604" name="Check Box 244" hidden="1">
              <a:extLst>
                <a:ext uri="{63B3BB69-23CF-44E3-9099-C40C66FF867C}">
                  <a14:compatExt spid="_x0000_s15604"/>
                </a:ext>
                <a:ext uri="{FF2B5EF4-FFF2-40B4-BE49-F238E27FC236}">
                  <a16:creationId xmlns:a16="http://schemas.microsoft.com/office/drawing/2014/main" id="{00000000-0008-0000-0500-0000F4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112</xdr:row>
          <xdr:rowOff>66675</xdr:rowOff>
        </xdr:from>
        <xdr:to>
          <xdr:col>10</xdr:col>
          <xdr:colOff>266700</xdr:colOff>
          <xdr:row>112</xdr:row>
          <xdr:rowOff>285750</xdr:rowOff>
        </xdr:to>
        <xdr:sp macro="" textlink="">
          <xdr:nvSpPr>
            <xdr:cNvPr id="15605" name="Check Box 245" hidden="1">
              <a:extLst>
                <a:ext uri="{63B3BB69-23CF-44E3-9099-C40C66FF867C}">
                  <a14:compatExt spid="_x0000_s15605"/>
                </a:ext>
                <a:ext uri="{FF2B5EF4-FFF2-40B4-BE49-F238E27FC236}">
                  <a16:creationId xmlns:a16="http://schemas.microsoft.com/office/drawing/2014/main" id="{00000000-0008-0000-0500-0000F5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113</xdr:row>
          <xdr:rowOff>66675</xdr:rowOff>
        </xdr:from>
        <xdr:to>
          <xdr:col>10</xdr:col>
          <xdr:colOff>266700</xdr:colOff>
          <xdr:row>113</xdr:row>
          <xdr:rowOff>285750</xdr:rowOff>
        </xdr:to>
        <xdr:sp macro="" textlink="">
          <xdr:nvSpPr>
            <xdr:cNvPr id="15606" name="Check Box 246" hidden="1">
              <a:extLst>
                <a:ext uri="{63B3BB69-23CF-44E3-9099-C40C66FF867C}">
                  <a14:compatExt spid="_x0000_s15606"/>
                </a:ext>
                <a:ext uri="{FF2B5EF4-FFF2-40B4-BE49-F238E27FC236}">
                  <a16:creationId xmlns:a16="http://schemas.microsoft.com/office/drawing/2014/main" id="{00000000-0008-0000-0500-0000F6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114</xdr:row>
          <xdr:rowOff>66675</xdr:rowOff>
        </xdr:from>
        <xdr:to>
          <xdr:col>10</xdr:col>
          <xdr:colOff>266700</xdr:colOff>
          <xdr:row>114</xdr:row>
          <xdr:rowOff>285750</xdr:rowOff>
        </xdr:to>
        <xdr:sp macro="" textlink="">
          <xdr:nvSpPr>
            <xdr:cNvPr id="15607" name="Check Box 247" hidden="1">
              <a:extLst>
                <a:ext uri="{63B3BB69-23CF-44E3-9099-C40C66FF867C}">
                  <a14:compatExt spid="_x0000_s15607"/>
                </a:ext>
                <a:ext uri="{FF2B5EF4-FFF2-40B4-BE49-F238E27FC236}">
                  <a16:creationId xmlns:a16="http://schemas.microsoft.com/office/drawing/2014/main" id="{00000000-0008-0000-0500-0000F7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115</xdr:row>
          <xdr:rowOff>66675</xdr:rowOff>
        </xdr:from>
        <xdr:to>
          <xdr:col>10</xdr:col>
          <xdr:colOff>266700</xdr:colOff>
          <xdr:row>115</xdr:row>
          <xdr:rowOff>285750</xdr:rowOff>
        </xdr:to>
        <xdr:sp macro="" textlink="">
          <xdr:nvSpPr>
            <xdr:cNvPr id="15608" name="Check Box 248" hidden="1">
              <a:extLst>
                <a:ext uri="{63B3BB69-23CF-44E3-9099-C40C66FF867C}">
                  <a14:compatExt spid="_x0000_s15608"/>
                </a:ext>
                <a:ext uri="{FF2B5EF4-FFF2-40B4-BE49-F238E27FC236}">
                  <a16:creationId xmlns:a16="http://schemas.microsoft.com/office/drawing/2014/main" id="{00000000-0008-0000-0500-0000F8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116</xdr:row>
          <xdr:rowOff>66675</xdr:rowOff>
        </xdr:from>
        <xdr:to>
          <xdr:col>10</xdr:col>
          <xdr:colOff>266700</xdr:colOff>
          <xdr:row>116</xdr:row>
          <xdr:rowOff>285750</xdr:rowOff>
        </xdr:to>
        <xdr:sp macro="" textlink="">
          <xdr:nvSpPr>
            <xdr:cNvPr id="15609" name="Check Box 249" hidden="1">
              <a:extLst>
                <a:ext uri="{63B3BB69-23CF-44E3-9099-C40C66FF867C}">
                  <a14:compatExt spid="_x0000_s15609"/>
                </a:ext>
                <a:ext uri="{FF2B5EF4-FFF2-40B4-BE49-F238E27FC236}">
                  <a16:creationId xmlns:a16="http://schemas.microsoft.com/office/drawing/2014/main" id="{00000000-0008-0000-0500-0000F9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117</xdr:row>
          <xdr:rowOff>66675</xdr:rowOff>
        </xdr:from>
        <xdr:to>
          <xdr:col>10</xdr:col>
          <xdr:colOff>266700</xdr:colOff>
          <xdr:row>117</xdr:row>
          <xdr:rowOff>285750</xdr:rowOff>
        </xdr:to>
        <xdr:sp macro="" textlink="">
          <xdr:nvSpPr>
            <xdr:cNvPr id="15610" name="Check Box 250" hidden="1">
              <a:extLst>
                <a:ext uri="{63B3BB69-23CF-44E3-9099-C40C66FF867C}">
                  <a14:compatExt spid="_x0000_s15610"/>
                </a:ext>
                <a:ext uri="{FF2B5EF4-FFF2-40B4-BE49-F238E27FC236}">
                  <a16:creationId xmlns:a16="http://schemas.microsoft.com/office/drawing/2014/main" id="{00000000-0008-0000-0500-0000FA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118</xdr:row>
          <xdr:rowOff>66675</xdr:rowOff>
        </xdr:from>
        <xdr:to>
          <xdr:col>10</xdr:col>
          <xdr:colOff>266700</xdr:colOff>
          <xdr:row>118</xdr:row>
          <xdr:rowOff>285750</xdr:rowOff>
        </xdr:to>
        <xdr:sp macro="" textlink="">
          <xdr:nvSpPr>
            <xdr:cNvPr id="15611" name="Check Box 251" hidden="1">
              <a:extLst>
                <a:ext uri="{63B3BB69-23CF-44E3-9099-C40C66FF867C}">
                  <a14:compatExt spid="_x0000_s15611"/>
                </a:ext>
                <a:ext uri="{FF2B5EF4-FFF2-40B4-BE49-F238E27FC236}">
                  <a16:creationId xmlns:a16="http://schemas.microsoft.com/office/drawing/2014/main" id="{00000000-0008-0000-0500-0000FB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119</xdr:row>
          <xdr:rowOff>66675</xdr:rowOff>
        </xdr:from>
        <xdr:to>
          <xdr:col>10</xdr:col>
          <xdr:colOff>266700</xdr:colOff>
          <xdr:row>119</xdr:row>
          <xdr:rowOff>285750</xdr:rowOff>
        </xdr:to>
        <xdr:sp macro="" textlink="">
          <xdr:nvSpPr>
            <xdr:cNvPr id="15612" name="Check Box 252" hidden="1">
              <a:extLst>
                <a:ext uri="{63B3BB69-23CF-44E3-9099-C40C66FF867C}">
                  <a14:compatExt spid="_x0000_s15612"/>
                </a:ext>
                <a:ext uri="{FF2B5EF4-FFF2-40B4-BE49-F238E27FC236}">
                  <a16:creationId xmlns:a16="http://schemas.microsoft.com/office/drawing/2014/main" id="{00000000-0008-0000-0500-0000FC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120</xdr:row>
          <xdr:rowOff>66675</xdr:rowOff>
        </xdr:from>
        <xdr:to>
          <xdr:col>10</xdr:col>
          <xdr:colOff>266700</xdr:colOff>
          <xdr:row>120</xdr:row>
          <xdr:rowOff>285750</xdr:rowOff>
        </xdr:to>
        <xdr:sp macro="" textlink="">
          <xdr:nvSpPr>
            <xdr:cNvPr id="15613" name="Check Box 253" hidden="1">
              <a:extLst>
                <a:ext uri="{63B3BB69-23CF-44E3-9099-C40C66FF867C}">
                  <a14:compatExt spid="_x0000_s15613"/>
                </a:ext>
                <a:ext uri="{FF2B5EF4-FFF2-40B4-BE49-F238E27FC236}">
                  <a16:creationId xmlns:a16="http://schemas.microsoft.com/office/drawing/2014/main" id="{00000000-0008-0000-0500-0000FD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121</xdr:row>
          <xdr:rowOff>66675</xdr:rowOff>
        </xdr:from>
        <xdr:to>
          <xdr:col>10</xdr:col>
          <xdr:colOff>266700</xdr:colOff>
          <xdr:row>121</xdr:row>
          <xdr:rowOff>285750</xdr:rowOff>
        </xdr:to>
        <xdr:sp macro="" textlink="">
          <xdr:nvSpPr>
            <xdr:cNvPr id="15614" name="Check Box 254" hidden="1">
              <a:extLst>
                <a:ext uri="{63B3BB69-23CF-44E3-9099-C40C66FF867C}">
                  <a14:compatExt spid="_x0000_s15614"/>
                </a:ext>
                <a:ext uri="{FF2B5EF4-FFF2-40B4-BE49-F238E27FC236}">
                  <a16:creationId xmlns:a16="http://schemas.microsoft.com/office/drawing/2014/main" id="{00000000-0008-0000-0500-0000FE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122</xdr:row>
          <xdr:rowOff>66675</xdr:rowOff>
        </xdr:from>
        <xdr:to>
          <xdr:col>10</xdr:col>
          <xdr:colOff>266700</xdr:colOff>
          <xdr:row>122</xdr:row>
          <xdr:rowOff>285750</xdr:rowOff>
        </xdr:to>
        <xdr:sp macro="" textlink="">
          <xdr:nvSpPr>
            <xdr:cNvPr id="15615" name="Check Box 255" hidden="1">
              <a:extLst>
                <a:ext uri="{63B3BB69-23CF-44E3-9099-C40C66FF867C}">
                  <a14:compatExt spid="_x0000_s15615"/>
                </a:ext>
                <a:ext uri="{FF2B5EF4-FFF2-40B4-BE49-F238E27FC236}">
                  <a16:creationId xmlns:a16="http://schemas.microsoft.com/office/drawing/2014/main" id="{00000000-0008-0000-0500-0000FF3C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123</xdr:row>
          <xdr:rowOff>66675</xdr:rowOff>
        </xdr:from>
        <xdr:to>
          <xdr:col>10</xdr:col>
          <xdr:colOff>266700</xdr:colOff>
          <xdr:row>123</xdr:row>
          <xdr:rowOff>285750</xdr:rowOff>
        </xdr:to>
        <xdr:sp macro="" textlink="">
          <xdr:nvSpPr>
            <xdr:cNvPr id="15616" name="Check Box 256" hidden="1">
              <a:extLst>
                <a:ext uri="{63B3BB69-23CF-44E3-9099-C40C66FF867C}">
                  <a14:compatExt spid="_x0000_s15616"/>
                </a:ext>
                <a:ext uri="{FF2B5EF4-FFF2-40B4-BE49-F238E27FC236}">
                  <a16:creationId xmlns:a16="http://schemas.microsoft.com/office/drawing/2014/main" id="{00000000-0008-0000-0500-0000003D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124</xdr:row>
          <xdr:rowOff>66675</xdr:rowOff>
        </xdr:from>
        <xdr:to>
          <xdr:col>10</xdr:col>
          <xdr:colOff>266700</xdr:colOff>
          <xdr:row>124</xdr:row>
          <xdr:rowOff>285750</xdr:rowOff>
        </xdr:to>
        <xdr:sp macro="" textlink="">
          <xdr:nvSpPr>
            <xdr:cNvPr id="15617" name="Check Box 257" hidden="1">
              <a:extLst>
                <a:ext uri="{63B3BB69-23CF-44E3-9099-C40C66FF867C}">
                  <a14:compatExt spid="_x0000_s15617"/>
                </a:ext>
                <a:ext uri="{FF2B5EF4-FFF2-40B4-BE49-F238E27FC236}">
                  <a16:creationId xmlns:a16="http://schemas.microsoft.com/office/drawing/2014/main" id="{00000000-0008-0000-0500-0000013D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125</xdr:row>
          <xdr:rowOff>66675</xdr:rowOff>
        </xdr:from>
        <xdr:to>
          <xdr:col>10</xdr:col>
          <xdr:colOff>266700</xdr:colOff>
          <xdr:row>125</xdr:row>
          <xdr:rowOff>285750</xdr:rowOff>
        </xdr:to>
        <xdr:sp macro="" textlink="">
          <xdr:nvSpPr>
            <xdr:cNvPr id="15618" name="Check Box 258" hidden="1">
              <a:extLst>
                <a:ext uri="{63B3BB69-23CF-44E3-9099-C40C66FF867C}">
                  <a14:compatExt spid="_x0000_s15618"/>
                </a:ext>
                <a:ext uri="{FF2B5EF4-FFF2-40B4-BE49-F238E27FC236}">
                  <a16:creationId xmlns:a16="http://schemas.microsoft.com/office/drawing/2014/main" id="{00000000-0008-0000-0500-0000023D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126</xdr:row>
          <xdr:rowOff>66675</xdr:rowOff>
        </xdr:from>
        <xdr:to>
          <xdr:col>10</xdr:col>
          <xdr:colOff>266700</xdr:colOff>
          <xdr:row>126</xdr:row>
          <xdr:rowOff>285750</xdr:rowOff>
        </xdr:to>
        <xdr:sp macro="" textlink="">
          <xdr:nvSpPr>
            <xdr:cNvPr id="15619" name="Check Box 259" hidden="1">
              <a:extLst>
                <a:ext uri="{63B3BB69-23CF-44E3-9099-C40C66FF867C}">
                  <a14:compatExt spid="_x0000_s15619"/>
                </a:ext>
                <a:ext uri="{FF2B5EF4-FFF2-40B4-BE49-F238E27FC236}">
                  <a16:creationId xmlns:a16="http://schemas.microsoft.com/office/drawing/2014/main" id="{00000000-0008-0000-0500-0000033D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127</xdr:row>
          <xdr:rowOff>66675</xdr:rowOff>
        </xdr:from>
        <xdr:to>
          <xdr:col>10</xdr:col>
          <xdr:colOff>266700</xdr:colOff>
          <xdr:row>127</xdr:row>
          <xdr:rowOff>285750</xdr:rowOff>
        </xdr:to>
        <xdr:sp macro="" textlink="">
          <xdr:nvSpPr>
            <xdr:cNvPr id="15620" name="Check Box 260" hidden="1">
              <a:extLst>
                <a:ext uri="{63B3BB69-23CF-44E3-9099-C40C66FF867C}">
                  <a14:compatExt spid="_x0000_s15620"/>
                </a:ext>
                <a:ext uri="{FF2B5EF4-FFF2-40B4-BE49-F238E27FC236}">
                  <a16:creationId xmlns:a16="http://schemas.microsoft.com/office/drawing/2014/main" id="{00000000-0008-0000-0500-0000043D0000}"/>
                </a:ext>
              </a:extLst>
            </xdr:cNvPr>
            <xdr:cNvSpPr/>
          </xdr:nvSpPr>
          <xdr:spPr bwMode="auto">
            <a:xfrm>
              <a:off x="0" y="0"/>
              <a:ext cx="0" cy="0"/>
            </a:xfrm>
            <a:prstGeom prst="rect">
              <a:avLst/>
            </a:prstGeom>
            <a:solidFill>
              <a:srgbClr val="C0C0C0" mc:Ignorable="a14" a14:legacySpreadsheetColorIndex="2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15</xdr:col>
      <xdr:colOff>171451</xdr:colOff>
      <xdr:row>0</xdr:row>
      <xdr:rowOff>66676</xdr:rowOff>
    </xdr:from>
    <xdr:to>
      <xdr:col>15</xdr:col>
      <xdr:colOff>517779</xdr:colOff>
      <xdr:row>1</xdr:row>
      <xdr:rowOff>64726</xdr:rowOff>
    </xdr:to>
    <xdr:pic macro="[0]!tela_inteira">
      <xdr:nvPicPr>
        <xdr:cNvPr id="2" name="Imagem 1" descr="Botão tela inteira.jp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tretch>
          <a:fillRect/>
        </a:stretch>
      </xdr:blipFill>
      <xdr:spPr>
        <a:xfrm>
          <a:off x="9467851" y="66676"/>
          <a:ext cx="346328" cy="360000"/>
        </a:xfrm>
        <a:prstGeom prst="rect">
          <a:avLst/>
        </a:prstGeom>
      </xdr:spPr>
    </xdr:pic>
    <xdr:clientData/>
  </xdr:twoCellAnchor>
  <xdr:twoCellAnchor>
    <xdr:from>
      <xdr:col>2</xdr:col>
      <xdr:colOff>9525</xdr:colOff>
      <xdr:row>1</xdr:row>
      <xdr:rowOff>19050</xdr:rowOff>
    </xdr:from>
    <xdr:to>
      <xdr:col>2</xdr:col>
      <xdr:colOff>513525</xdr:colOff>
      <xdr:row>1</xdr:row>
      <xdr:rowOff>235050</xdr:rowOff>
    </xdr:to>
    <xdr:sp macro="" textlink="">
      <xdr:nvSpPr>
        <xdr:cNvPr id="10" name="Retângulo 9">
          <a:extLst>
            <a:ext uri="{FF2B5EF4-FFF2-40B4-BE49-F238E27FC236}">
              <a16:creationId xmlns:a16="http://schemas.microsoft.com/office/drawing/2014/main" id="{00000000-0008-0000-0600-00000A000000}"/>
            </a:ext>
          </a:extLst>
        </xdr:cNvPr>
        <xdr:cNvSpPr/>
      </xdr:nvSpPr>
      <xdr:spPr>
        <a:xfrm>
          <a:off x="485775" y="381000"/>
          <a:ext cx="504000" cy="216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r>
            <a:rPr lang="pt-BR" sz="1200" b="1">
              <a:solidFill>
                <a:sysClr val="windowText" lastClr="000000"/>
              </a:solidFill>
            </a:rPr>
            <a:t>Ref.:</a:t>
          </a:r>
        </a:p>
      </xdr:txBody>
    </xdr:sp>
    <xdr:clientData/>
  </xdr:twoCellAnchor>
  <xdr:twoCellAnchor>
    <xdr:from>
      <xdr:col>0</xdr:col>
      <xdr:colOff>342900</xdr:colOff>
      <xdr:row>2</xdr:row>
      <xdr:rowOff>9525</xdr:rowOff>
    </xdr:from>
    <xdr:to>
      <xdr:col>2</xdr:col>
      <xdr:colOff>524175</xdr:colOff>
      <xdr:row>2</xdr:row>
      <xdr:rowOff>225525</xdr:rowOff>
    </xdr:to>
    <xdr:sp macro="" textlink="">
      <xdr:nvSpPr>
        <xdr:cNvPr id="11" name="Retângulo 10">
          <a:extLst>
            <a:ext uri="{FF2B5EF4-FFF2-40B4-BE49-F238E27FC236}">
              <a16:creationId xmlns:a16="http://schemas.microsoft.com/office/drawing/2014/main" id="{00000000-0008-0000-0600-00000B000000}"/>
            </a:ext>
          </a:extLst>
        </xdr:cNvPr>
        <xdr:cNvSpPr/>
      </xdr:nvSpPr>
      <xdr:spPr>
        <a:xfrm>
          <a:off x="352425" y="609600"/>
          <a:ext cx="648000" cy="216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r>
            <a:rPr lang="pt-BR" sz="1100" b="1">
              <a:solidFill>
                <a:sysClr val="windowText" lastClr="000000"/>
              </a:solidFill>
            </a:rPr>
            <a:t>Descr.:</a:t>
          </a:r>
        </a:p>
      </xdr:txBody>
    </xdr:sp>
    <xdr:clientData/>
  </xdr:twoCellAnchor>
  <xdr:twoCellAnchor>
    <xdr:from>
      <xdr:col>3</xdr:col>
      <xdr:colOff>1</xdr:colOff>
      <xdr:row>1</xdr:row>
      <xdr:rowOff>0</xdr:rowOff>
    </xdr:from>
    <xdr:to>
      <xdr:col>5</xdr:col>
      <xdr:colOff>85725</xdr:colOff>
      <xdr:row>2</xdr:row>
      <xdr:rowOff>13875</xdr:rowOff>
    </xdr:to>
    <xdr:sp macro="" textlink="$R$2">
      <xdr:nvSpPr>
        <xdr:cNvPr id="12" name="Retângulo 11">
          <a:extLst>
            <a:ext uri="{FF2B5EF4-FFF2-40B4-BE49-F238E27FC236}">
              <a16:creationId xmlns:a16="http://schemas.microsoft.com/office/drawing/2014/main" id="{00000000-0008-0000-0600-00000C000000}"/>
            </a:ext>
          </a:extLst>
        </xdr:cNvPr>
        <xdr:cNvSpPr/>
      </xdr:nvSpPr>
      <xdr:spPr>
        <a:xfrm>
          <a:off x="3409951" y="361950"/>
          <a:ext cx="1228724" cy="26152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r"/>
          <a:fld id="{4EE26F5E-A8A1-4A4C-8FB0-94EB1E2C5C4C}" type="TxLink">
            <a:rPr lang="en-US" sz="1100" b="1" i="0" u="none" strike="noStrike">
              <a:solidFill>
                <a:srgbClr val="FF0000"/>
              </a:solidFill>
              <a:latin typeface="Calibri"/>
              <a:cs typeface="Calibri"/>
            </a:rPr>
            <a:pPr algn="r"/>
            <a:t> </a:t>
          </a:fld>
          <a:endParaRPr lang="pt-BR" sz="1300" b="1">
            <a:solidFill>
              <a:srgbClr val="FF0000"/>
            </a:solidFill>
          </a:endParaRPr>
        </a:p>
      </xdr:txBody>
    </xdr:sp>
    <xdr:clientData/>
  </xdr:twoCellAnchor>
  <xdr:twoCellAnchor editAs="oneCell">
    <xdr:from>
      <xdr:col>13</xdr:col>
      <xdr:colOff>533400</xdr:colOff>
      <xdr:row>1</xdr:row>
      <xdr:rowOff>76201</xdr:rowOff>
    </xdr:from>
    <xdr:to>
      <xdr:col>15</xdr:col>
      <xdr:colOff>106200</xdr:colOff>
      <xdr:row>2</xdr:row>
      <xdr:rowOff>116551</xdr:rowOff>
    </xdr:to>
    <xdr:sp macro="[0]!reexibir_linhas_em_Balanceamento" textlink="">
      <xdr:nvSpPr>
        <xdr:cNvPr id="6" name="Retângulo de cantos arredondados 5">
          <a:extLst>
            <a:ext uri="{FF2B5EF4-FFF2-40B4-BE49-F238E27FC236}">
              <a16:creationId xmlns:a16="http://schemas.microsoft.com/office/drawing/2014/main" id="{00000000-0008-0000-0600-000006000000}"/>
            </a:ext>
          </a:extLst>
        </xdr:cNvPr>
        <xdr:cNvSpPr/>
      </xdr:nvSpPr>
      <xdr:spPr bwMode="auto">
        <a:xfrm>
          <a:off x="8610600" y="438151"/>
          <a:ext cx="792000" cy="288000"/>
        </a:xfrm>
        <a:prstGeom prst="roundRect">
          <a:avLst/>
        </a:prstGeom>
        <a:solidFill>
          <a:schemeClr val="accent5">
            <a:lumMod val="40000"/>
            <a:lumOff val="60000"/>
          </a:schemeClr>
        </a:solidFill>
        <a:ln w="9525" cap="flat" cmpd="sng" algn="ctr">
          <a:solidFill>
            <a:schemeClr val="accent5">
              <a:lumMod val="40000"/>
              <a:lumOff val="6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800" b="1">
              <a:solidFill>
                <a:srgbClr val="0000FF"/>
              </a:solidFill>
              <a:latin typeface="Arial" pitchFamily="34" charset="0"/>
              <a:cs typeface="Arial" pitchFamily="34" charset="0"/>
            </a:rPr>
            <a:t>Reexibir</a:t>
          </a:r>
        </a:p>
        <a:p>
          <a:pPr algn="ctr"/>
          <a:r>
            <a:rPr lang="pt-BR" sz="800" b="1">
              <a:solidFill>
                <a:srgbClr val="0000FF"/>
              </a:solidFill>
              <a:latin typeface="Arial" pitchFamily="34" charset="0"/>
              <a:cs typeface="Arial" pitchFamily="34" charset="0"/>
            </a:rPr>
            <a:t>linhas</a:t>
          </a:r>
        </a:p>
      </xdr:txBody>
    </xdr:sp>
    <xdr:clientData fPrintsWithSheet="0"/>
  </xdr:twoCellAnchor>
  <xdr:twoCellAnchor editAs="oneCell">
    <xdr:from>
      <xdr:col>13</xdr:col>
      <xdr:colOff>533400</xdr:colOff>
      <xdr:row>0</xdr:row>
      <xdr:rowOff>66676</xdr:rowOff>
    </xdr:from>
    <xdr:to>
      <xdr:col>15</xdr:col>
      <xdr:colOff>106200</xdr:colOff>
      <xdr:row>0</xdr:row>
      <xdr:rowOff>354676</xdr:rowOff>
    </xdr:to>
    <xdr:sp macro="[0]!ocultar_linhas_em_Balanceamento" textlink="">
      <xdr:nvSpPr>
        <xdr:cNvPr id="7" name="Retângulo de cantos arredondados 6">
          <a:extLst>
            <a:ext uri="{FF2B5EF4-FFF2-40B4-BE49-F238E27FC236}">
              <a16:creationId xmlns:a16="http://schemas.microsoft.com/office/drawing/2014/main" id="{00000000-0008-0000-0600-000007000000}"/>
            </a:ext>
          </a:extLst>
        </xdr:cNvPr>
        <xdr:cNvSpPr/>
      </xdr:nvSpPr>
      <xdr:spPr bwMode="auto">
        <a:xfrm>
          <a:off x="8610600" y="66676"/>
          <a:ext cx="792000" cy="288000"/>
        </a:xfrm>
        <a:prstGeom prst="roundRect">
          <a:avLst/>
        </a:prstGeom>
        <a:solidFill>
          <a:schemeClr val="accent5">
            <a:lumMod val="40000"/>
            <a:lumOff val="60000"/>
          </a:schemeClr>
        </a:solidFill>
        <a:ln w="9525" cap="flat" cmpd="sng" algn="ctr">
          <a:solidFill>
            <a:schemeClr val="accent5">
              <a:lumMod val="40000"/>
              <a:lumOff val="6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800" b="1">
              <a:solidFill>
                <a:srgbClr val="FF0000"/>
              </a:solidFill>
              <a:latin typeface="Arial" pitchFamily="34" charset="0"/>
              <a:cs typeface="Arial" pitchFamily="34" charset="0"/>
            </a:rPr>
            <a:t>Ocultar linhas</a:t>
          </a:r>
        </a:p>
        <a:p>
          <a:pPr algn="ctr"/>
          <a:r>
            <a:rPr lang="pt-BR" sz="800" b="1">
              <a:solidFill>
                <a:srgbClr val="FF0000"/>
              </a:solidFill>
              <a:latin typeface="Arial" pitchFamily="34" charset="0"/>
              <a:cs typeface="Arial" pitchFamily="34" charset="0"/>
            </a:rPr>
            <a:t>em branco</a:t>
          </a:r>
        </a:p>
      </xdr:txBody>
    </xdr:sp>
    <xdr:clientData fPrintsWithSheet="0"/>
  </xdr:twoCellAnchor>
  <xdr:twoCellAnchor editAs="oneCell">
    <xdr:from>
      <xdr:col>11</xdr:col>
      <xdr:colOff>114300</xdr:colOff>
      <xdr:row>0</xdr:row>
      <xdr:rowOff>66676</xdr:rowOff>
    </xdr:from>
    <xdr:to>
      <xdr:col>12</xdr:col>
      <xdr:colOff>260700</xdr:colOff>
      <xdr:row>0</xdr:row>
      <xdr:rowOff>354676</xdr:rowOff>
    </xdr:to>
    <xdr:sp macro="[0]!limpar_balanceamento" textlink="">
      <xdr:nvSpPr>
        <xdr:cNvPr id="8" name="Retângulo de cantos arredondados 7">
          <a:extLst>
            <a:ext uri="{FF2B5EF4-FFF2-40B4-BE49-F238E27FC236}">
              <a16:creationId xmlns:a16="http://schemas.microsoft.com/office/drawing/2014/main" id="{00000000-0008-0000-0600-000008000000}"/>
            </a:ext>
          </a:extLst>
        </xdr:cNvPr>
        <xdr:cNvSpPr>
          <a:spLocks/>
        </xdr:cNvSpPr>
      </xdr:nvSpPr>
      <xdr:spPr>
        <a:xfrm>
          <a:off x="7953375" y="66676"/>
          <a:ext cx="756000" cy="288000"/>
        </a:xfrm>
        <a:prstGeom prst="roundRect">
          <a:avLst/>
        </a:prstGeom>
        <a:solidFill>
          <a:srgbClr val="FF0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5"/>
        </a:lnRef>
        <a:fillRef idx="3">
          <a:schemeClr val="accent5"/>
        </a:fillRef>
        <a:effectRef idx="3">
          <a:schemeClr val="accent5"/>
        </a:effectRef>
        <a:fontRef idx="minor">
          <a:schemeClr val="lt1"/>
        </a:fontRef>
      </xdr:style>
      <xdr:txBody>
        <a:bodyPr vertOverflow="clip" rtlCol="0" anchor="ctr"/>
        <a:lstStyle/>
        <a:p>
          <a:pPr algn="ctr"/>
          <a:r>
            <a:rPr lang="pt-BR" sz="1100" b="1">
              <a:latin typeface="+mn-lt"/>
              <a:cs typeface="Arial" pitchFamily="34" charset="0"/>
            </a:rPr>
            <a:t>Limpar</a:t>
          </a:r>
        </a:p>
      </xdr:txBody>
    </xdr:sp>
    <xdr:clientData fPrintsWithSheet="0"/>
  </xdr:twoCellAnchor>
  <xdr:twoCellAnchor editAs="oneCell">
    <xdr:from>
      <xdr:col>12</xdr:col>
      <xdr:colOff>323850</xdr:colOff>
      <xdr:row>0</xdr:row>
      <xdr:rowOff>66675</xdr:rowOff>
    </xdr:from>
    <xdr:to>
      <xdr:col>13</xdr:col>
      <xdr:colOff>470250</xdr:colOff>
      <xdr:row>0</xdr:row>
      <xdr:rowOff>354675</xdr:rowOff>
    </xdr:to>
    <xdr:sp macro="[0]!ir_para_menu" textlink="">
      <xdr:nvSpPr>
        <xdr:cNvPr id="9" name="Retângulo de cantos arredondados 8">
          <a:extLst>
            <a:ext uri="{FF2B5EF4-FFF2-40B4-BE49-F238E27FC236}">
              <a16:creationId xmlns:a16="http://schemas.microsoft.com/office/drawing/2014/main" id="{00000000-0008-0000-0600-000009000000}"/>
            </a:ext>
          </a:extLst>
        </xdr:cNvPr>
        <xdr:cNvSpPr/>
      </xdr:nvSpPr>
      <xdr:spPr bwMode="auto">
        <a:xfrm>
          <a:off x="8772525" y="66675"/>
          <a:ext cx="756000" cy="288000"/>
        </a:xfrm>
        <a:prstGeom prst="roundRect">
          <a:avLst/>
        </a:prstGeom>
        <a:solidFill>
          <a:srgbClr val="00B0F0"/>
        </a:solidFill>
        <a:ln w="9525" cap="flat" cmpd="sng" algn="ctr">
          <a:solidFill>
            <a:srgbClr val="00B0F0"/>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100" b="1">
              <a:solidFill>
                <a:srgbClr val="0000CC"/>
              </a:solidFill>
              <a:latin typeface="Arial" pitchFamily="34" charset="0"/>
              <a:cs typeface="Arial" pitchFamily="34" charset="0"/>
            </a:rPr>
            <a:t>Menu</a:t>
          </a:r>
          <a:endParaRPr lang="pt-BR" sz="1100" b="1">
            <a:solidFill>
              <a:srgbClr val="0000CC"/>
            </a:solidFill>
            <a:latin typeface="Arial" pitchFamily="34" charset="0"/>
            <a:ea typeface="+mn-ea"/>
            <a:cs typeface="Arial" pitchFamily="34" charset="0"/>
          </a:endParaRPr>
        </a:p>
      </xdr:txBody>
    </xdr:sp>
    <xdr:clientData fPrintsWithSheet="0"/>
  </xdr:twoCellAnchor>
  <xdr:twoCellAnchor editAs="oneCell">
    <xdr:from>
      <xdr:col>12</xdr:col>
      <xdr:colOff>323850</xdr:colOff>
      <xdr:row>1</xdr:row>
      <xdr:rowOff>76201</xdr:rowOff>
    </xdr:from>
    <xdr:to>
      <xdr:col>13</xdr:col>
      <xdr:colOff>470250</xdr:colOff>
      <xdr:row>2</xdr:row>
      <xdr:rowOff>116551</xdr:rowOff>
    </xdr:to>
    <xdr:sp macro="[0]!imprimir_ficha_balanceamento" textlink="">
      <xdr:nvSpPr>
        <xdr:cNvPr id="13" name="Retângulo de cantos arredondados 12">
          <a:extLst>
            <a:ext uri="{FF2B5EF4-FFF2-40B4-BE49-F238E27FC236}">
              <a16:creationId xmlns:a16="http://schemas.microsoft.com/office/drawing/2014/main" id="{00000000-0008-0000-0600-00000D000000}"/>
            </a:ext>
          </a:extLst>
        </xdr:cNvPr>
        <xdr:cNvSpPr/>
      </xdr:nvSpPr>
      <xdr:spPr bwMode="auto">
        <a:xfrm>
          <a:off x="8772525" y="438151"/>
          <a:ext cx="756000" cy="288000"/>
        </a:xfrm>
        <a:prstGeom prst="roundRect">
          <a:avLst/>
        </a:prstGeom>
        <a:solidFill>
          <a:srgbClr val="00CC00"/>
        </a:solidFill>
        <a:ln w="9525" cap="flat" cmpd="sng" algn="ctr">
          <a:solidFill>
            <a:srgbClr val="00CC00"/>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100" b="1">
              <a:solidFill>
                <a:schemeClr val="bg1"/>
              </a:solidFill>
            </a:rPr>
            <a:t>Imprimir </a:t>
          </a:r>
        </a:p>
      </xdr:txBody>
    </xdr:sp>
    <xdr:clientData fPrintsWithSheet="0"/>
  </xdr:twoCellAnchor>
  <xdr:twoCellAnchor editAs="oneCell">
    <xdr:from>
      <xdr:col>11</xdr:col>
      <xdr:colOff>114300</xdr:colOff>
      <xdr:row>1</xdr:row>
      <xdr:rowOff>76201</xdr:rowOff>
    </xdr:from>
    <xdr:to>
      <xdr:col>12</xdr:col>
      <xdr:colOff>260700</xdr:colOff>
      <xdr:row>2</xdr:row>
      <xdr:rowOff>116551</xdr:rowOff>
    </xdr:to>
    <xdr:sp macro="" textlink="">
      <xdr:nvSpPr>
        <xdr:cNvPr id="14" name="Retângulo de cantos arredondados 13">
          <a:extLst>
            <a:ext uri="{FF2B5EF4-FFF2-40B4-BE49-F238E27FC236}">
              <a16:creationId xmlns:a16="http://schemas.microsoft.com/office/drawing/2014/main" id="{00000000-0008-0000-0600-00000E000000}"/>
            </a:ext>
          </a:extLst>
        </xdr:cNvPr>
        <xdr:cNvSpPr/>
      </xdr:nvSpPr>
      <xdr:spPr bwMode="auto">
        <a:xfrm>
          <a:off x="7953375" y="438151"/>
          <a:ext cx="756000" cy="288000"/>
        </a:xfrm>
        <a:prstGeom prst="roundRect">
          <a:avLst/>
        </a:prstGeom>
        <a:solidFill>
          <a:schemeClr val="accent4">
            <a:lumMod val="60000"/>
            <a:lumOff val="40000"/>
          </a:schemeClr>
        </a:solidFill>
        <a:ln w="9525" cap="flat" cmpd="sng" algn="ctr">
          <a:solidFill>
            <a:schemeClr val="accent4">
              <a:lumMod val="60000"/>
              <a:lumOff val="4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100" b="1">
              <a:solidFill>
                <a:schemeClr val="accent4">
                  <a:lumMod val="75000"/>
                </a:schemeClr>
              </a:solidFill>
            </a:rPr>
            <a:t>Voltar</a:t>
          </a:r>
        </a:p>
      </xdr:txBody>
    </xdr:sp>
    <xdr:clientData fPrintsWithSheet="0"/>
  </xdr:twoCellAnchor>
  <xdr:twoCellAnchor editAs="oneCell">
    <xdr:from>
      <xdr:col>15</xdr:col>
      <xdr:colOff>576313</xdr:colOff>
      <xdr:row>0</xdr:row>
      <xdr:rowOff>60325</xdr:rowOff>
    </xdr:from>
    <xdr:to>
      <xdr:col>16</xdr:col>
      <xdr:colOff>398713</xdr:colOff>
      <xdr:row>0</xdr:row>
      <xdr:rowOff>348325</xdr:rowOff>
    </xdr:to>
    <xdr:sp macro="[0]!reexibir_coluna_oper_e_efic_em_balanceamento" textlink="">
      <xdr:nvSpPr>
        <xdr:cNvPr id="15" name="Retângulo de cantos arredondados 14">
          <a:extLst>
            <a:ext uri="{FF2B5EF4-FFF2-40B4-BE49-F238E27FC236}">
              <a16:creationId xmlns:a16="http://schemas.microsoft.com/office/drawing/2014/main" id="{00000000-0008-0000-0600-00000F000000}"/>
            </a:ext>
          </a:extLst>
        </xdr:cNvPr>
        <xdr:cNvSpPr/>
      </xdr:nvSpPr>
      <xdr:spPr bwMode="auto">
        <a:xfrm>
          <a:off x="9872713" y="60325"/>
          <a:ext cx="432000" cy="288000"/>
        </a:xfrm>
        <a:prstGeom prst="roundRect">
          <a:avLst/>
        </a:prstGeom>
        <a:solidFill>
          <a:schemeClr val="accent5">
            <a:lumMod val="40000"/>
            <a:lumOff val="60000"/>
          </a:schemeClr>
        </a:solidFill>
        <a:ln w="9525" cap="flat" cmpd="sng" algn="ctr">
          <a:noFill/>
          <a:prstDash val="solid"/>
          <a:round/>
          <a:headEnd type="none" w="med" len="med"/>
          <a:tailEnd type="none" w="med" len="med"/>
        </a:ln>
        <a:effectLst/>
        <a:scene3d>
          <a:camera prst="orthographicFront">
            <a:rot lat="0" lon="0" rev="0"/>
          </a:camera>
          <a:lightRig rig="chilly" dir="t">
            <a:rot lat="0" lon="0" rev="18480000"/>
          </a:lightRig>
        </a:scene3d>
        <a:sp3d prstMaterial="clear">
          <a:bevelT h="63500"/>
        </a:sp3d>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lang="pt-BR" sz="700" b="0">
              <a:solidFill>
                <a:srgbClr val="0000FF"/>
              </a:solidFill>
              <a:latin typeface="Arial" pitchFamily="34" charset="0"/>
              <a:cs typeface="Arial" pitchFamily="34" charset="0"/>
            </a:rPr>
            <a:t>Reexibir</a:t>
          </a:r>
        </a:p>
        <a:p>
          <a:pPr algn="ctr"/>
          <a:r>
            <a:rPr lang="pt-BR" sz="700" b="0">
              <a:solidFill>
                <a:srgbClr val="0000FF"/>
              </a:solidFill>
              <a:latin typeface="Arial" pitchFamily="34" charset="0"/>
              <a:cs typeface="Arial" pitchFamily="34" charset="0"/>
            </a:rPr>
            <a:t>Colunas</a:t>
          </a:r>
        </a:p>
      </xdr:txBody>
    </xdr:sp>
    <xdr:clientData fPrintsWithSheet="0"/>
  </xdr:twoCellAnchor>
  <xdr:twoCellAnchor>
    <xdr:from>
      <xdr:col>9</xdr:col>
      <xdr:colOff>372210</xdr:colOff>
      <xdr:row>4</xdr:row>
      <xdr:rowOff>214679</xdr:rowOff>
    </xdr:from>
    <xdr:to>
      <xdr:col>9</xdr:col>
      <xdr:colOff>476985</xdr:colOff>
      <xdr:row>4</xdr:row>
      <xdr:rowOff>309929</xdr:rowOff>
    </xdr:to>
    <xdr:sp macro="[0]!ocultar_coluna_oper_em_balanceamento" textlink="">
      <xdr:nvSpPr>
        <xdr:cNvPr id="17" name="Elipse 16">
          <a:extLst>
            <a:ext uri="{FF2B5EF4-FFF2-40B4-BE49-F238E27FC236}">
              <a16:creationId xmlns:a16="http://schemas.microsoft.com/office/drawing/2014/main" id="{00000000-0008-0000-0600-000011000000}"/>
            </a:ext>
          </a:extLst>
        </xdr:cNvPr>
        <xdr:cNvSpPr/>
      </xdr:nvSpPr>
      <xdr:spPr>
        <a:xfrm>
          <a:off x="6477735" y="1071929"/>
          <a:ext cx="104775" cy="95250"/>
        </a:xfrm>
        <a:prstGeom prst="ellipse">
          <a:avLst/>
        </a:prstGeom>
        <a:solidFill>
          <a:srgbClr val="FF0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pt-BR" sz="1100"/>
        </a:p>
      </xdr:txBody>
    </xdr:sp>
    <xdr:clientData fPrintsWithSheet="0"/>
  </xdr:twoCellAnchor>
  <xdr:twoCellAnchor>
    <xdr:from>
      <xdr:col>6</xdr:col>
      <xdr:colOff>334110</xdr:colOff>
      <xdr:row>4</xdr:row>
      <xdr:rowOff>224204</xdr:rowOff>
    </xdr:from>
    <xdr:to>
      <xdr:col>6</xdr:col>
      <xdr:colOff>438885</xdr:colOff>
      <xdr:row>4</xdr:row>
      <xdr:rowOff>319454</xdr:rowOff>
    </xdr:to>
    <xdr:sp macro="[0]!ocultar_coluna_efic_máq_em_balanceamento" textlink="">
      <xdr:nvSpPr>
        <xdr:cNvPr id="18" name="Elipse 17">
          <a:extLst>
            <a:ext uri="{FF2B5EF4-FFF2-40B4-BE49-F238E27FC236}">
              <a16:creationId xmlns:a16="http://schemas.microsoft.com/office/drawing/2014/main" id="{00000000-0008-0000-0600-000012000000}"/>
            </a:ext>
          </a:extLst>
        </xdr:cNvPr>
        <xdr:cNvSpPr/>
      </xdr:nvSpPr>
      <xdr:spPr>
        <a:xfrm>
          <a:off x="4906110" y="1081454"/>
          <a:ext cx="104775" cy="95250"/>
        </a:xfrm>
        <a:prstGeom prst="ellipse">
          <a:avLst/>
        </a:prstGeom>
        <a:solidFill>
          <a:srgbClr val="FF0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pt-BR" sz="1100"/>
        </a:p>
      </xdr:txBody>
    </xdr:sp>
    <xdr:clientData fPrintsWithSheet="0"/>
  </xdr:twoCellAnchor>
  <xdr:twoCellAnchor editAs="oneCell">
    <xdr:from>
      <xdr:col>10</xdr:col>
      <xdr:colOff>47624</xdr:colOff>
      <xdr:row>1</xdr:row>
      <xdr:rowOff>9525</xdr:rowOff>
    </xdr:from>
    <xdr:to>
      <xdr:col>10</xdr:col>
      <xdr:colOff>947624</xdr:colOff>
      <xdr:row>2</xdr:row>
      <xdr:rowOff>157875</xdr:rowOff>
    </xdr:to>
    <xdr:sp macro="" textlink="$R$8">
      <xdr:nvSpPr>
        <xdr:cNvPr id="16" name="Retângulo 15">
          <a:extLst>
            <a:ext uri="{FF2B5EF4-FFF2-40B4-BE49-F238E27FC236}">
              <a16:creationId xmlns:a16="http://schemas.microsoft.com/office/drawing/2014/main" id="{00000000-0008-0000-0600-000010000000}"/>
            </a:ext>
          </a:extLst>
        </xdr:cNvPr>
        <xdr:cNvSpPr/>
      </xdr:nvSpPr>
      <xdr:spPr>
        <a:xfrm>
          <a:off x="6657974" y="371475"/>
          <a:ext cx="900000" cy="3960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fld id="{78498762-DE05-402A-846B-22ECFB39C042}" type="TxLink">
            <a:rPr lang="en-US" sz="1000" b="1" i="0" u="none" strike="noStrike">
              <a:solidFill>
                <a:srgbClr val="FF0000"/>
              </a:solidFill>
              <a:latin typeface="Arial" pitchFamily="34" charset="0"/>
              <a:cs typeface="Arial" pitchFamily="34" charset="0"/>
            </a:rPr>
            <a:pPr algn="ctr"/>
            <a:t> </a:t>
          </a:fld>
          <a:endParaRPr lang="pt-BR" sz="1000" b="1">
            <a:solidFill>
              <a:srgbClr val="FF0000"/>
            </a:solidFill>
            <a:latin typeface="Arial" pitchFamily="34" charset="0"/>
            <a:cs typeface="Arial" pitchFamily="34" charset="0"/>
          </a:endParaRPr>
        </a:p>
      </xdr:txBody>
    </xdr:sp>
    <xdr:clientData fPrintsWithSheet="0"/>
  </xdr:twoCellAnchor>
  <xdr:twoCellAnchor editAs="oneCell">
    <xdr:from>
      <xdr:col>14</xdr:col>
      <xdr:colOff>114300</xdr:colOff>
      <xdr:row>5</xdr:row>
      <xdr:rowOff>200026</xdr:rowOff>
    </xdr:from>
    <xdr:to>
      <xdr:col>15</xdr:col>
      <xdr:colOff>152700</xdr:colOff>
      <xdr:row>7</xdr:row>
      <xdr:rowOff>30826</xdr:rowOff>
    </xdr:to>
    <xdr:sp macro="[0]!limpar_resumo_no_balanceamento" textlink="">
      <xdr:nvSpPr>
        <xdr:cNvPr id="20" name="Retângulo de cantos arredondados 19">
          <a:extLst>
            <a:ext uri="{FF2B5EF4-FFF2-40B4-BE49-F238E27FC236}">
              <a16:creationId xmlns:a16="http://schemas.microsoft.com/office/drawing/2014/main" id="{00000000-0008-0000-0600-000014000000}"/>
            </a:ext>
          </a:extLst>
        </xdr:cNvPr>
        <xdr:cNvSpPr/>
      </xdr:nvSpPr>
      <xdr:spPr bwMode="auto">
        <a:xfrm>
          <a:off x="8801100" y="1533526"/>
          <a:ext cx="648000" cy="288000"/>
        </a:xfrm>
        <a:prstGeom prst="roundRect">
          <a:avLst/>
        </a:prstGeom>
        <a:solidFill>
          <a:schemeClr val="bg1"/>
        </a:solidFill>
        <a:ln w="9525" cap="flat" cmpd="sng" algn="ctr">
          <a:solidFill>
            <a:schemeClr val="bg1"/>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800" b="1">
              <a:solidFill>
                <a:srgbClr val="FF0000"/>
              </a:solidFill>
              <a:latin typeface="Arial" pitchFamily="34" charset="0"/>
              <a:cs typeface="Arial" pitchFamily="34" charset="0"/>
            </a:rPr>
            <a:t>Limpar</a:t>
          </a:r>
        </a:p>
        <a:p>
          <a:pPr algn="ctr"/>
          <a:r>
            <a:rPr lang="pt-BR" sz="800" b="1">
              <a:solidFill>
                <a:srgbClr val="FF0000"/>
              </a:solidFill>
              <a:latin typeface="Arial" pitchFamily="34" charset="0"/>
              <a:cs typeface="Arial" pitchFamily="34" charset="0"/>
            </a:rPr>
            <a:t>Resumo</a:t>
          </a:r>
        </a:p>
      </xdr:txBody>
    </xdr:sp>
    <xdr:clientData fPrintsWithSheet="0"/>
  </xdr:twoCellAnchor>
  <mc:AlternateContent xmlns:mc="http://schemas.openxmlformats.org/markup-compatibility/2006">
    <mc:Choice xmlns:a14="http://schemas.microsoft.com/office/drawing/2010/main" Requires="a14">
      <xdr:twoCellAnchor editAs="oneCell">
        <xdr:from>
          <xdr:col>11</xdr:col>
          <xdr:colOff>95250</xdr:colOff>
          <xdr:row>4</xdr:row>
          <xdr:rowOff>190500</xdr:rowOff>
        </xdr:from>
        <xdr:to>
          <xdr:col>11</xdr:col>
          <xdr:colOff>600075</xdr:colOff>
          <xdr:row>4</xdr:row>
          <xdr:rowOff>409575</xdr:rowOff>
        </xdr:to>
        <xdr:sp macro="" textlink="">
          <xdr:nvSpPr>
            <xdr:cNvPr id="7173" name="Option Button 5" hidden="1">
              <a:extLst>
                <a:ext uri="{63B3BB69-23CF-44E3-9099-C40C66FF867C}">
                  <a14:compatExt spid="_x0000_s7173"/>
                </a:ext>
                <a:ext uri="{FF2B5EF4-FFF2-40B4-BE49-F238E27FC236}">
                  <a16:creationId xmlns:a16="http://schemas.microsoft.com/office/drawing/2014/main" id="{00000000-0008-0000-0600-0000051C0000}"/>
                </a:ext>
              </a:extLst>
            </xdr:cNvPr>
            <xdr:cNvSpPr/>
          </xdr:nvSpPr>
          <xdr:spPr bwMode="auto">
            <a:xfrm>
              <a:off x="0" y="0"/>
              <a:ext cx="0" cy="0"/>
            </a:xfrm>
            <a:prstGeom prst="rect">
              <a:avLst/>
            </a:prstGeom>
            <a:solidFill>
              <a:srgbClr val="FFFF00" mc:Ignorable="a14" a14:legacySpreadsheetColorIndex="13"/>
            </a:solidFill>
            <a:ln w="19050">
              <a:solidFill>
                <a:srgbClr val="FF6600" mc:Ignorable="a14" a14:legacySpreadsheetColorIndex="53"/>
              </a:solidFill>
              <a:miter lim="800000"/>
              <a:headEnd/>
              <a:tailEnd/>
            </a:ln>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Geral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66675</xdr:colOff>
          <xdr:row>4</xdr:row>
          <xdr:rowOff>190500</xdr:rowOff>
        </xdr:from>
        <xdr:to>
          <xdr:col>12</xdr:col>
          <xdr:colOff>571500</xdr:colOff>
          <xdr:row>4</xdr:row>
          <xdr:rowOff>409575</xdr:rowOff>
        </xdr:to>
        <xdr:sp macro="" textlink="">
          <xdr:nvSpPr>
            <xdr:cNvPr id="7178" name="Option Button 10"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solidFill>
              <a:srgbClr val="FFFF00" mc:Ignorable="a14" a14:legacySpreadsheetColorIndex="13"/>
            </a:solidFill>
            <a:ln w="19050">
              <a:solidFill>
                <a:srgbClr val="FF6600" mc:Ignorable="a14" a14:legacySpreadsheetColorIndex="53"/>
              </a:solidFill>
              <a:miter lim="800000"/>
              <a:headEnd/>
              <a:tailEnd/>
            </a:ln>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Máq.</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4</xdr:row>
          <xdr:rowOff>57150</xdr:rowOff>
        </xdr:from>
        <xdr:to>
          <xdr:col>13</xdr:col>
          <xdr:colOff>19050</xdr:colOff>
          <xdr:row>4</xdr:row>
          <xdr:rowOff>466725</xdr:rowOff>
        </xdr:to>
        <xdr:sp macro="" textlink="">
          <xdr:nvSpPr>
            <xdr:cNvPr id="7185" name="Group Box 17" hidden="1">
              <a:extLst>
                <a:ext uri="{63B3BB69-23CF-44E3-9099-C40C66FF867C}">
                  <a14:compatExt spid="_x0000_s7185"/>
                </a:ext>
                <a:ext uri="{FF2B5EF4-FFF2-40B4-BE49-F238E27FC236}">
                  <a16:creationId xmlns:a16="http://schemas.microsoft.com/office/drawing/2014/main" id="{00000000-0008-0000-0600-000011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pt-BR" sz="800" b="0" i="0" u="none" strike="noStrike" baseline="0">
                  <a:solidFill>
                    <a:srgbClr val="000000"/>
                  </a:solidFill>
                  <a:latin typeface="Tahoma"/>
                  <a:ea typeface="Tahoma"/>
                  <a:cs typeface="Tahoma"/>
                </a:rPr>
                <a:t>% Eficiência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4</xdr:row>
          <xdr:rowOff>57150</xdr:rowOff>
        </xdr:from>
        <xdr:to>
          <xdr:col>16</xdr:col>
          <xdr:colOff>552450</xdr:colOff>
          <xdr:row>4</xdr:row>
          <xdr:rowOff>466725</xdr:rowOff>
        </xdr:to>
        <xdr:sp macro="" textlink="">
          <xdr:nvSpPr>
            <xdr:cNvPr id="7187" name="Group Box 19" hidden="1">
              <a:extLst>
                <a:ext uri="{63B3BB69-23CF-44E3-9099-C40C66FF867C}">
                  <a14:compatExt spid="_x0000_s7187"/>
                </a:ext>
                <a:ext uri="{FF2B5EF4-FFF2-40B4-BE49-F238E27FC236}">
                  <a16:creationId xmlns:a16="http://schemas.microsoft.com/office/drawing/2014/main" id="{00000000-0008-0000-0600-000013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pt-BR" sz="800" b="0" i="0" u="none" strike="noStrike" baseline="0">
                  <a:solidFill>
                    <a:srgbClr val="000000"/>
                  </a:solidFill>
                  <a:latin typeface="Tahoma"/>
                  <a:ea typeface="Tahoma"/>
                  <a:cs typeface="Tahoma"/>
                </a:rPr>
                <a:t>Peças / Hora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123825</xdr:colOff>
          <xdr:row>4</xdr:row>
          <xdr:rowOff>190500</xdr:rowOff>
        </xdr:from>
        <xdr:to>
          <xdr:col>14</xdr:col>
          <xdr:colOff>76200</xdr:colOff>
          <xdr:row>4</xdr:row>
          <xdr:rowOff>409575</xdr:rowOff>
        </xdr:to>
        <xdr:sp macro="" textlink="">
          <xdr:nvSpPr>
            <xdr:cNvPr id="7188" name="Option Button 20" hidden="1">
              <a:extLst>
                <a:ext uri="{63B3BB69-23CF-44E3-9099-C40C66FF867C}">
                  <a14:compatExt spid="_x0000_s7188"/>
                </a:ext>
                <a:ext uri="{FF2B5EF4-FFF2-40B4-BE49-F238E27FC236}">
                  <a16:creationId xmlns:a16="http://schemas.microsoft.com/office/drawing/2014/main" id="{00000000-0008-0000-0600-0000141C0000}"/>
                </a:ext>
              </a:extLst>
            </xdr:cNvPr>
            <xdr:cNvSpPr/>
          </xdr:nvSpPr>
          <xdr:spPr bwMode="auto">
            <a:xfrm>
              <a:off x="0" y="0"/>
              <a:ext cx="0" cy="0"/>
            </a:xfrm>
            <a:prstGeom prst="rect">
              <a:avLst/>
            </a:prstGeom>
            <a:solidFill>
              <a:srgbClr val="3366FF" mc:Ignorable="a14" a14:legacySpreadsheetColorIndex="48">
                <a:alpha val="50000"/>
              </a:srgbClr>
            </a:solidFill>
            <a:ln w="19050">
              <a:solidFill>
                <a:srgbClr val="0000FF" mc:Ignorable="a14" a14:legacySpreadsheetColorIndex="12"/>
              </a:solidFill>
              <a:miter lim="800000"/>
              <a:headEnd/>
              <a:tailEnd/>
            </a:ln>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100%</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4</xdr:row>
          <xdr:rowOff>190500</xdr:rowOff>
        </xdr:from>
        <xdr:to>
          <xdr:col>15</xdr:col>
          <xdr:colOff>314325</xdr:colOff>
          <xdr:row>4</xdr:row>
          <xdr:rowOff>409575</xdr:rowOff>
        </xdr:to>
        <xdr:sp macro="" textlink="">
          <xdr:nvSpPr>
            <xdr:cNvPr id="7192" name="Option Button 24" hidden="1">
              <a:extLst>
                <a:ext uri="{63B3BB69-23CF-44E3-9099-C40C66FF867C}">
                  <a14:compatExt spid="_x0000_s7192"/>
                </a:ext>
                <a:ext uri="{FF2B5EF4-FFF2-40B4-BE49-F238E27FC236}">
                  <a16:creationId xmlns:a16="http://schemas.microsoft.com/office/drawing/2014/main" id="{00000000-0008-0000-0600-0000181C0000}"/>
                </a:ext>
              </a:extLst>
            </xdr:cNvPr>
            <xdr:cNvSpPr/>
          </xdr:nvSpPr>
          <xdr:spPr bwMode="auto">
            <a:xfrm>
              <a:off x="0" y="0"/>
              <a:ext cx="0" cy="0"/>
            </a:xfrm>
            <a:prstGeom prst="rect">
              <a:avLst/>
            </a:prstGeom>
            <a:solidFill>
              <a:srgbClr val="3366FF" mc:Ignorable="a14" a14:legacySpreadsheetColorIndex="48">
                <a:alpha val="50000"/>
              </a:srgbClr>
            </a:solidFill>
            <a:ln w="19050">
              <a:solidFill>
                <a:srgbClr val="0000FF" mc:Ignorable="a14" a14:legacySpreadsheetColorIndex="12"/>
              </a:solidFill>
              <a:miter lim="800000"/>
              <a:headEnd/>
              <a:tailEnd/>
            </a:ln>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 Ef. Geral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371475</xdr:colOff>
          <xdr:row>4</xdr:row>
          <xdr:rowOff>190500</xdr:rowOff>
        </xdr:from>
        <xdr:to>
          <xdr:col>16</xdr:col>
          <xdr:colOff>495300</xdr:colOff>
          <xdr:row>4</xdr:row>
          <xdr:rowOff>409575</xdr:rowOff>
        </xdr:to>
        <xdr:sp macro="" textlink="">
          <xdr:nvSpPr>
            <xdr:cNvPr id="7209" name="Option Button 41" hidden="1">
              <a:extLst>
                <a:ext uri="{63B3BB69-23CF-44E3-9099-C40C66FF867C}">
                  <a14:compatExt spid="_x0000_s7209"/>
                </a:ext>
                <a:ext uri="{FF2B5EF4-FFF2-40B4-BE49-F238E27FC236}">
                  <a16:creationId xmlns:a16="http://schemas.microsoft.com/office/drawing/2014/main" id="{00000000-0008-0000-0600-0000291C0000}"/>
                </a:ext>
              </a:extLst>
            </xdr:cNvPr>
            <xdr:cNvSpPr/>
          </xdr:nvSpPr>
          <xdr:spPr bwMode="auto">
            <a:xfrm>
              <a:off x="0" y="0"/>
              <a:ext cx="0" cy="0"/>
            </a:xfrm>
            <a:prstGeom prst="rect">
              <a:avLst/>
            </a:prstGeom>
            <a:solidFill>
              <a:srgbClr val="3366FF" mc:Ignorable="a14" a14:legacySpreadsheetColorIndex="48">
                <a:alpha val="50000"/>
              </a:srgbClr>
            </a:solidFill>
            <a:ln w="19050">
              <a:solidFill>
                <a:srgbClr val="0000FF" mc:Ignorable="a14" a14:legacySpreadsheetColorIndex="12"/>
              </a:solidFill>
              <a:miter lim="800000"/>
              <a:headEnd/>
              <a:tailEnd/>
            </a:ln>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 Ef. Máq</a:t>
              </a:r>
            </a:p>
          </xdr:txBody>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4</xdr:row>
      <xdr:rowOff>57150</xdr:rowOff>
    </xdr:from>
    <xdr:to>
      <xdr:col>0</xdr:col>
      <xdr:colOff>2941050</xdr:colOff>
      <xdr:row>4</xdr:row>
      <xdr:rowOff>309150</xdr:rowOff>
    </xdr:to>
    <xdr:sp macro="[0]!inserir_linha_em_cliente" textlink="">
      <xdr:nvSpPr>
        <xdr:cNvPr id="3" name="Retângulo de cantos arredondados 2">
          <a:extLst>
            <a:ext uri="{FF2B5EF4-FFF2-40B4-BE49-F238E27FC236}">
              <a16:creationId xmlns:a16="http://schemas.microsoft.com/office/drawing/2014/main" id="{00000000-0008-0000-0700-000003000000}"/>
            </a:ext>
          </a:extLst>
        </xdr:cNvPr>
        <xdr:cNvSpPr/>
      </xdr:nvSpPr>
      <xdr:spPr>
        <a:xfrm>
          <a:off x="85725" y="2152650"/>
          <a:ext cx="2855325" cy="252000"/>
        </a:xfrm>
        <a:prstGeom prst="roundRect">
          <a:avLst/>
        </a:prstGeom>
        <a:solidFill>
          <a:schemeClr val="bg1">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rtlCol="0" anchor="ctr"/>
        <a:lstStyle/>
        <a:p>
          <a:pPr algn="ctr"/>
          <a:r>
            <a:rPr lang="pt-BR" sz="1000" b="1">
              <a:solidFill>
                <a:srgbClr val="0000FF"/>
              </a:solidFill>
              <a:latin typeface="Arial" pitchFamily="34" charset="0"/>
              <a:cs typeface="Arial" pitchFamily="34" charset="0"/>
            </a:rPr>
            <a:t>Inserir linha </a:t>
          </a:r>
          <a:r>
            <a:rPr lang="pt-BR" sz="800" b="1">
              <a:solidFill>
                <a:srgbClr val="0000FF"/>
              </a:solidFill>
              <a:latin typeface="Arial" pitchFamily="34" charset="0"/>
              <a:cs typeface="Arial" pitchFamily="34" charset="0"/>
            </a:rPr>
            <a:t>( </a:t>
          </a:r>
          <a:r>
            <a:rPr lang="pt-BR" sz="800">
              <a:solidFill>
                <a:srgbClr val="0000FF"/>
              </a:solidFill>
              <a:latin typeface="Arial" pitchFamily="34" charset="0"/>
              <a:cs typeface="Arial" pitchFamily="34" charset="0"/>
            </a:rPr>
            <a:t>clique o necessário )</a:t>
          </a:r>
        </a:p>
      </xdr:txBody>
    </xdr:sp>
    <xdr:clientData fPrintsWithSheet="0"/>
  </xdr:twoCellAnchor>
  <xdr:twoCellAnchor editAs="oneCell">
    <xdr:from>
      <xdr:col>0</xdr:col>
      <xdr:colOff>66675</xdr:colOff>
      <xdr:row>0</xdr:row>
      <xdr:rowOff>85725</xdr:rowOff>
    </xdr:from>
    <xdr:to>
      <xdr:col>0</xdr:col>
      <xdr:colOff>295275</xdr:colOff>
      <xdr:row>0</xdr:row>
      <xdr:rowOff>381000</xdr:rowOff>
    </xdr:to>
    <xdr:sp macro="[0]!ordem_clientes_em_cliente" textlink="">
      <xdr:nvSpPr>
        <xdr:cNvPr id="4" name="Seta para cima 3">
          <a:extLst>
            <a:ext uri="{FF2B5EF4-FFF2-40B4-BE49-F238E27FC236}">
              <a16:creationId xmlns:a16="http://schemas.microsoft.com/office/drawing/2014/main" id="{00000000-0008-0000-0700-000004000000}"/>
            </a:ext>
          </a:extLst>
        </xdr:cNvPr>
        <xdr:cNvSpPr/>
      </xdr:nvSpPr>
      <xdr:spPr>
        <a:xfrm>
          <a:off x="66675" y="85725"/>
          <a:ext cx="228600" cy="295275"/>
        </a:xfrm>
        <a:prstGeom prst="upArrow">
          <a:avLst/>
        </a:prstGeom>
        <a:solidFill>
          <a:srgbClr val="0000FF"/>
        </a:solidFill>
        <a:ln>
          <a:solidFill>
            <a:srgbClr val="0000FF"/>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pt-BR" sz="1100"/>
        </a:p>
      </xdr:txBody>
    </xdr:sp>
    <xdr:clientData fPrintsWithSheet="0"/>
  </xdr:twoCellAnchor>
  <xdr:twoCellAnchor editAs="oneCell">
    <xdr:from>
      <xdr:col>2</xdr:col>
      <xdr:colOff>95250</xdr:colOff>
      <xdr:row>0</xdr:row>
      <xdr:rowOff>76200</xdr:rowOff>
    </xdr:from>
    <xdr:to>
      <xdr:col>3</xdr:col>
      <xdr:colOff>241650</xdr:colOff>
      <xdr:row>0</xdr:row>
      <xdr:rowOff>364200</xdr:rowOff>
    </xdr:to>
    <xdr:sp macro="[0]!ir_de_cliente_para_OP" textlink="">
      <xdr:nvSpPr>
        <xdr:cNvPr id="7" name="Retângulo de cantos arredondados 6">
          <a:extLst>
            <a:ext uri="{FF2B5EF4-FFF2-40B4-BE49-F238E27FC236}">
              <a16:creationId xmlns:a16="http://schemas.microsoft.com/office/drawing/2014/main" id="{00000000-0008-0000-0700-000007000000}"/>
            </a:ext>
          </a:extLst>
        </xdr:cNvPr>
        <xdr:cNvSpPr/>
      </xdr:nvSpPr>
      <xdr:spPr bwMode="auto">
        <a:xfrm>
          <a:off x="7667625" y="76200"/>
          <a:ext cx="756000" cy="288000"/>
        </a:xfrm>
        <a:prstGeom prst="roundRect">
          <a:avLst/>
        </a:prstGeom>
        <a:solidFill>
          <a:schemeClr val="bg1">
            <a:lumMod val="85000"/>
          </a:schemeClr>
        </a:solidFill>
        <a:ln w="9525" cap="flat" cmpd="sng" algn="ctr">
          <a:solidFill>
            <a:schemeClr val="bg1">
              <a:lumMod val="85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100" b="1">
              <a:solidFill>
                <a:schemeClr val="tx1">
                  <a:lumMod val="50000"/>
                  <a:lumOff val="50000"/>
                </a:schemeClr>
              </a:solidFill>
            </a:rPr>
            <a:t>Voltar</a:t>
          </a:r>
        </a:p>
      </xdr:txBody>
    </xdr:sp>
    <xdr:clientData fPrintsWithSheet="0"/>
  </xdr:twoCellAnchor>
  <xdr:twoCellAnchor editAs="oneCell">
    <xdr:from>
      <xdr:col>3</xdr:col>
      <xdr:colOff>352425</xdr:colOff>
      <xdr:row>0</xdr:row>
      <xdr:rowOff>76200</xdr:rowOff>
    </xdr:from>
    <xdr:to>
      <xdr:col>4</xdr:col>
      <xdr:colOff>498825</xdr:colOff>
      <xdr:row>0</xdr:row>
      <xdr:rowOff>364200</xdr:rowOff>
    </xdr:to>
    <xdr:sp macro="[0]!ir_de_cliente_para_menu" textlink="">
      <xdr:nvSpPr>
        <xdr:cNvPr id="8" name="Retângulo de cantos arredondados 7">
          <a:extLst>
            <a:ext uri="{FF2B5EF4-FFF2-40B4-BE49-F238E27FC236}">
              <a16:creationId xmlns:a16="http://schemas.microsoft.com/office/drawing/2014/main" id="{00000000-0008-0000-0700-000008000000}"/>
            </a:ext>
          </a:extLst>
        </xdr:cNvPr>
        <xdr:cNvSpPr/>
      </xdr:nvSpPr>
      <xdr:spPr bwMode="auto">
        <a:xfrm>
          <a:off x="8534400" y="76200"/>
          <a:ext cx="756000" cy="288000"/>
        </a:xfrm>
        <a:prstGeom prst="roundRect">
          <a:avLst/>
        </a:prstGeom>
        <a:solidFill>
          <a:srgbClr val="00B0F0"/>
        </a:solidFill>
        <a:ln w="9525" cap="flat" cmpd="sng" algn="ctr">
          <a:solidFill>
            <a:srgbClr val="00B0F0"/>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100" b="1">
              <a:solidFill>
                <a:srgbClr val="0000CC"/>
              </a:solidFill>
              <a:latin typeface="Arial" pitchFamily="34" charset="0"/>
              <a:cs typeface="Arial" pitchFamily="34" charset="0"/>
            </a:rPr>
            <a:t>Menu</a:t>
          </a:r>
          <a:endParaRPr lang="pt-BR" sz="1100" b="1">
            <a:solidFill>
              <a:srgbClr val="0000CC"/>
            </a:solidFill>
            <a:latin typeface="Arial" pitchFamily="34" charset="0"/>
            <a:ea typeface="+mn-ea"/>
            <a:cs typeface="Arial" pitchFamily="34" charset="0"/>
          </a:endParaRPr>
        </a:p>
      </xdr:txBody>
    </xdr:sp>
    <xdr:clientData fPrintsWithSheet="0"/>
  </xdr:twoCellAnchor>
</xdr:wsDr>
</file>

<file path=xl/drawings/drawing9.xml><?xml version="1.0" encoding="utf-8"?>
<xdr:wsDr xmlns:xdr="http://schemas.openxmlformats.org/drawingml/2006/spreadsheetDrawing" xmlns:a="http://schemas.openxmlformats.org/drawingml/2006/main">
  <xdr:twoCellAnchor editAs="absolute">
    <xdr:from>
      <xdr:col>8</xdr:col>
      <xdr:colOff>66675</xdr:colOff>
      <xdr:row>0</xdr:row>
      <xdr:rowOff>47626</xdr:rowOff>
    </xdr:from>
    <xdr:to>
      <xdr:col>9</xdr:col>
      <xdr:colOff>41625</xdr:colOff>
      <xdr:row>1</xdr:row>
      <xdr:rowOff>68926</xdr:rowOff>
    </xdr:to>
    <xdr:sp macro="[0]!ir_para_cores" textlink="">
      <xdr:nvSpPr>
        <xdr:cNvPr id="9" name="Retângulo de cantos arredondados 8">
          <a:extLst>
            <a:ext uri="{FF2B5EF4-FFF2-40B4-BE49-F238E27FC236}">
              <a16:creationId xmlns:a16="http://schemas.microsoft.com/office/drawing/2014/main" id="{00000000-0008-0000-0800-000009000000}"/>
            </a:ext>
          </a:extLst>
        </xdr:cNvPr>
        <xdr:cNvSpPr/>
      </xdr:nvSpPr>
      <xdr:spPr bwMode="auto">
        <a:xfrm>
          <a:off x="6915150" y="47626"/>
          <a:ext cx="756000" cy="288000"/>
        </a:xfrm>
        <a:prstGeom prst="roundRect">
          <a:avLst/>
        </a:prstGeom>
        <a:solidFill>
          <a:schemeClr val="accent4"/>
        </a:solidFill>
        <a:ln w="9525" cap="flat" cmpd="sng" algn="ctr">
          <a:solidFill>
            <a:schemeClr val="accent4"/>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50" b="1">
              <a:solidFill>
                <a:schemeClr val="bg1"/>
              </a:solidFill>
            </a:rPr>
            <a:t>Cores</a:t>
          </a:r>
        </a:p>
      </xdr:txBody>
    </xdr:sp>
    <xdr:clientData fPrintsWithSheet="0"/>
  </xdr:twoCellAnchor>
  <xdr:twoCellAnchor editAs="absolute">
    <xdr:from>
      <xdr:col>9</xdr:col>
      <xdr:colOff>114300</xdr:colOff>
      <xdr:row>0</xdr:row>
      <xdr:rowOff>47626</xdr:rowOff>
    </xdr:from>
    <xdr:to>
      <xdr:col>10</xdr:col>
      <xdr:colOff>89250</xdr:colOff>
      <xdr:row>1</xdr:row>
      <xdr:rowOff>68926</xdr:rowOff>
    </xdr:to>
    <xdr:sp macro="[0]!ir_para_tamanhos" textlink="">
      <xdr:nvSpPr>
        <xdr:cNvPr id="10" name="Retângulo de cantos arredondados 9">
          <a:extLst>
            <a:ext uri="{FF2B5EF4-FFF2-40B4-BE49-F238E27FC236}">
              <a16:creationId xmlns:a16="http://schemas.microsoft.com/office/drawing/2014/main" id="{00000000-0008-0000-0800-00000A000000}"/>
            </a:ext>
          </a:extLst>
        </xdr:cNvPr>
        <xdr:cNvSpPr/>
      </xdr:nvSpPr>
      <xdr:spPr bwMode="auto">
        <a:xfrm>
          <a:off x="7743825" y="47626"/>
          <a:ext cx="756000" cy="288000"/>
        </a:xfrm>
        <a:prstGeom prst="roundRect">
          <a:avLst/>
        </a:prstGeom>
        <a:solidFill>
          <a:schemeClr val="accent3">
            <a:lumMod val="60000"/>
            <a:lumOff val="40000"/>
          </a:schemeClr>
        </a:solidFill>
        <a:ln w="9525" cap="flat" cmpd="sng" algn="ctr">
          <a:solidFill>
            <a:schemeClr val="accent3">
              <a:lumMod val="60000"/>
              <a:lumOff val="4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50" b="1">
              <a:solidFill>
                <a:schemeClr val="accent3">
                  <a:lumMod val="50000"/>
                </a:schemeClr>
              </a:solidFill>
            </a:rPr>
            <a:t>Tamanhos</a:t>
          </a:r>
        </a:p>
      </xdr:txBody>
    </xdr:sp>
    <xdr:clientData fPrintsWithSheet="0"/>
  </xdr:twoCellAnchor>
  <xdr:twoCellAnchor editAs="oneCell">
    <xdr:from>
      <xdr:col>3</xdr:col>
      <xdr:colOff>171450</xdr:colOff>
      <xdr:row>0</xdr:row>
      <xdr:rowOff>47625</xdr:rowOff>
    </xdr:from>
    <xdr:to>
      <xdr:col>4</xdr:col>
      <xdr:colOff>218400</xdr:colOff>
      <xdr:row>1</xdr:row>
      <xdr:rowOff>68925</xdr:rowOff>
    </xdr:to>
    <xdr:sp macro="[0]!ir_para_ficha_acompanhamento" textlink="">
      <xdr:nvSpPr>
        <xdr:cNvPr id="4" name="Retângulo de cantos arredondados 3">
          <a:extLst>
            <a:ext uri="{FF2B5EF4-FFF2-40B4-BE49-F238E27FC236}">
              <a16:creationId xmlns:a16="http://schemas.microsoft.com/office/drawing/2014/main" id="{00000000-0008-0000-0800-000004000000}"/>
            </a:ext>
          </a:extLst>
        </xdr:cNvPr>
        <xdr:cNvSpPr/>
      </xdr:nvSpPr>
      <xdr:spPr bwMode="auto">
        <a:xfrm>
          <a:off x="3114675" y="47625"/>
          <a:ext cx="828000" cy="288000"/>
        </a:xfrm>
        <a:prstGeom prst="roundRect">
          <a:avLst/>
        </a:prstGeom>
        <a:solidFill>
          <a:schemeClr val="bg1">
            <a:lumMod val="65000"/>
          </a:schemeClr>
        </a:solidFill>
        <a:ln w="9525" cap="flat" cmpd="sng" algn="ctr">
          <a:solidFill>
            <a:schemeClr val="bg1">
              <a:lumMod val="65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chemeClr val="tx1">
                  <a:lumMod val="65000"/>
                  <a:lumOff val="35000"/>
                </a:schemeClr>
              </a:solidFill>
            </a:rPr>
            <a:t>Ficha</a:t>
          </a:r>
          <a:r>
            <a:rPr lang="pt-BR" sz="1000" b="1" baseline="0">
              <a:solidFill>
                <a:schemeClr val="tx1">
                  <a:lumMod val="65000"/>
                  <a:lumOff val="35000"/>
                </a:schemeClr>
              </a:solidFill>
            </a:rPr>
            <a:t> Acomp.</a:t>
          </a:r>
          <a:endParaRPr lang="pt-BR" sz="1000" b="1">
            <a:solidFill>
              <a:schemeClr val="tx1">
                <a:lumMod val="65000"/>
                <a:lumOff val="35000"/>
              </a:schemeClr>
            </a:solidFill>
          </a:endParaRPr>
        </a:p>
      </xdr:txBody>
    </xdr:sp>
    <xdr:clientData fPrintsWithSheet="0"/>
  </xdr:twoCellAnchor>
  <xdr:twoCellAnchor editAs="oneCell">
    <xdr:from>
      <xdr:col>6</xdr:col>
      <xdr:colOff>409575</xdr:colOff>
      <xdr:row>5</xdr:row>
      <xdr:rowOff>257175</xdr:rowOff>
    </xdr:from>
    <xdr:to>
      <xdr:col>7</xdr:col>
      <xdr:colOff>420525</xdr:colOff>
      <xdr:row>7</xdr:row>
      <xdr:rowOff>11775</xdr:rowOff>
    </xdr:to>
    <xdr:sp macro="[0]!cadastrar_op" textlink="$P$3">
      <xdr:nvSpPr>
        <xdr:cNvPr id="6" name="Retângulo de cantos arredondados 5">
          <a:extLst>
            <a:ext uri="{FF2B5EF4-FFF2-40B4-BE49-F238E27FC236}">
              <a16:creationId xmlns:a16="http://schemas.microsoft.com/office/drawing/2014/main" id="{00000000-0008-0000-0800-000006000000}"/>
            </a:ext>
          </a:extLst>
        </xdr:cNvPr>
        <xdr:cNvSpPr/>
      </xdr:nvSpPr>
      <xdr:spPr bwMode="auto">
        <a:xfrm>
          <a:off x="5695950" y="1590675"/>
          <a:ext cx="792000" cy="288000"/>
        </a:xfrm>
        <a:prstGeom prst="roundRect">
          <a:avLst/>
        </a:prstGeom>
        <a:solidFill>
          <a:srgbClr val="92D050"/>
        </a:solidFill>
        <a:ln w="9525" cap="flat" cmpd="sng" algn="ctr">
          <a:solidFill>
            <a:srgbClr val="92D050"/>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fld id="{29458A64-C5FD-4926-A360-9AE061447FAE}" type="TxLink">
            <a:rPr lang="en-US" sz="1200" b="1" i="0" u="none" strike="noStrike">
              <a:solidFill>
                <a:sysClr val="windowText" lastClr="000000"/>
              </a:solidFill>
              <a:latin typeface="Calibri"/>
              <a:cs typeface="Calibri"/>
            </a:rPr>
            <a:pPr algn="ctr"/>
            <a:t>- - - - - -</a:t>
          </a:fld>
          <a:endParaRPr lang="en-US" sz="1200" b="1" i="0" u="none" strike="noStrike">
            <a:solidFill>
              <a:sysClr val="windowText" lastClr="000000"/>
            </a:solidFill>
            <a:latin typeface="Calibri"/>
            <a:cs typeface="Calibri"/>
          </a:endParaRPr>
        </a:p>
      </xdr:txBody>
    </xdr:sp>
    <xdr:clientData fPrintsWithSheet="0"/>
  </xdr:twoCellAnchor>
  <xdr:twoCellAnchor editAs="oneCell">
    <xdr:from>
      <xdr:col>5</xdr:col>
      <xdr:colOff>381000</xdr:colOff>
      <xdr:row>0</xdr:row>
      <xdr:rowOff>76200</xdr:rowOff>
    </xdr:from>
    <xdr:to>
      <xdr:col>6</xdr:col>
      <xdr:colOff>211950</xdr:colOff>
      <xdr:row>1</xdr:row>
      <xdr:rowOff>43500</xdr:rowOff>
    </xdr:to>
    <xdr:sp macro="[0]!limpar_op" textlink="">
      <xdr:nvSpPr>
        <xdr:cNvPr id="7" name="Retângulo de cantos arredondados 6">
          <a:extLst>
            <a:ext uri="{FF2B5EF4-FFF2-40B4-BE49-F238E27FC236}">
              <a16:creationId xmlns:a16="http://schemas.microsoft.com/office/drawing/2014/main" id="{00000000-0008-0000-0800-000007000000}"/>
            </a:ext>
          </a:extLst>
        </xdr:cNvPr>
        <xdr:cNvSpPr>
          <a:spLocks/>
        </xdr:cNvSpPr>
      </xdr:nvSpPr>
      <xdr:spPr>
        <a:xfrm>
          <a:off x="4886325" y="76200"/>
          <a:ext cx="612000" cy="234000"/>
        </a:xfrm>
        <a:prstGeom prst="roundRect">
          <a:avLst/>
        </a:prstGeom>
        <a:solidFill>
          <a:srgbClr val="FF0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5"/>
        </a:lnRef>
        <a:fillRef idx="3">
          <a:schemeClr val="accent5"/>
        </a:fillRef>
        <a:effectRef idx="3">
          <a:schemeClr val="accent5"/>
        </a:effectRef>
        <a:fontRef idx="minor">
          <a:schemeClr val="lt1"/>
        </a:fontRef>
      </xdr:style>
      <xdr:txBody>
        <a:bodyPr vertOverflow="clip" rtlCol="0" anchor="ctr"/>
        <a:lstStyle/>
        <a:p>
          <a:pPr algn="ctr"/>
          <a:r>
            <a:rPr lang="pt-BR" sz="1100" b="1">
              <a:latin typeface="+mn-lt"/>
              <a:cs typeface="Arial" pitchFamily="34" charset="0"/>
            </a:rPr>
            <a:t>Limpar</a:t>
          </a:r>
        </a:p>
      </xdr:txBody>
    </xdr:sp>
    <xdr:clientData fPrintsWithSheet="0"/>
  </xdr:twoCellAnchor>
  <xdr:twoCellAnchor>
    <xdr:from>
      <xdr:col>2</xdr:col>
      <xdr:colOff>28576</xdr:colOff>
      <xdr:row>2</xdr:row>
      <xdr:rowOff>0</xdr:rowOff>
    </xdr:from>
    <xdr:to>
      <xdr:col>11</xdr:col>
      <xdr:colOff>667126</xdr:colOff>
      <xdr:row>2</xdr:row>
      <xdr:rowOff>252000</xdr:rowOff>
    </xdr:to>
    <xdr:sp macro="" textlink="$P$2">
      <xdr:nvSpPr>
        <xdr:cNvPr id="8" name="Retângulo 7">
          <a:extLst>
            <a:ext uri="{FF2B5EF4-FFF2-40B4-BE49-F238E27FC236}">
              <a16:creationId xmlns:a16="http://schemas.microsoft.com/office/drawing/2014/main" id="{00000000-0008-0000-0800-000008000000}"/>
            </a:ext>
          </a:extLst>
        </xdr:cNvPr>
        <xdr:cNvSpPr/>
      </xdr:nvSpPr>
      <xdr:spPr>
        <a:xfrm>
          <a:off x="2190751" y="533400"/>
          <a:ext cx="7668000" cy="2520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fld id="{4D8EB17D-D0EF-45D1-8C3D-11BF223009D3}" type="TxLink">
            <a:rPr lang="en-US" sz="1200" b="1" i="0" u="none" strike="noStrike">
              <a:solidFill>
                <a:srgbClr val="FF0000"/>
              </a:solidFill>
              <a:latin typeface="Calibri"/>
              <a:cs typeface="Calibri"/>
            </a:rPr>
            <a:pPr algn="ctr"/>
            <a:t> </a:t>
          </a:fld>
          <a:endParaRPr lang="pt-BR" sz="1200" b="1">
            <a:solidFill>
              <a:srgbClr val="FF0000"/>
            </a:solidFill>
          </a:endParaRPr>
        </a:p>
      </xdr:txBody>
    </xdr:sp>
    <xdr:clientData/>
  </xdr:twoCellAnchor>
  <xdr:twoCellAnchor editAs="oneCell">
    <xdr:from>
      <xdr:col>2</xdr:col>
      <xdr:colOff>104775</xdr:colOff>
      <xdr:row>0</xdr:row>
      <xdr:rowOff>47625</xdr:rowOff>
    </xdr:from>
    <xdr:to>
      <xdr:col>3</xdr:col>
      <xdr:colOff>79725</xdr:colOff>
      <xdr:row>1</xdr:row>
      <xdr:rowOff>68925</xdr:rowOff>
    </xdr:to>
    <xdr:sp macro="[0]!ir_para_consulta_de_op" textlink="">
      <xdr:nvSpPr>
        <xdr:cNvPr id="11" name="Retângulo de cantos arredondados 10">
          <a:extLst>
            <a:ext uri="{FF2B5EF4-FFF2-40B4-BE49-F238E27FC236}">
              <a16:creationId xmlns:a16="http://schemas.microsoft.com/office/drawing/2014/main" id="{00000000-0008-0000-0800-00000B000000}"/>
            </a:ext>
          </a:extLst>
        </xdr:cNvPr>
        <xdr:cNvSpPr/>
      </xdr:nvSpPr>
      <xdr:spPr bwMode="auto">
        <a:xfrm>
          <a:off x="2266950" y="47625"/>
          <a:ext cx="756000" cy="288000"/>
        </a:xfrm>
        <a:prstGeom prst="roundRect">
          <a:avLst/>
        </a:prstGeom>
        <a:solidFill>
          <a:schemeClr val="accent5">
            <a:lumMod val="60000"/>
            <a:lumOff val="40000"/>
          </a:schemeClr>
        </a:solidFill>
        <a:ln w="9525" cap="flat" cmpd="sng" algn="ctr">
          <a:solidFill>
            <a:schemeClr val="accent5">
              <a:lumMod val="60000"/>
              <a:lumOff val="4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100" b="1">
              <a:solidFill>
                <a:srgbClr val="0070C0"/>
              </a:solidFill>
            </a:rPr>
            <a:t>Consultar</a:t>
          </a:r>
        </a:p>
      </xdr:txBody>
    </xdr:sp>
    <xdr:clientData fPrintsWithSheet="0"/>
  </xdr:twoCellAnchor>
  <xdr:twoCellAnchor editAs="oneCell">
    <xdr:from>
      <xdr:col>0</xdr:col>
      <xdr:colOff>1371600</xdr:colOff>
      <xdr:row>11</xdr:row>
      <xdr:rowOff>38100</xdr:rowOff>
    </xdr:from>
    <xdr:to>
      <xdr:col>1</xdr:col>
      <xdr:colOff>566475</xdr:colOff>
      <xdr:row>12</xdr:row>
      <xdr:rowOff>92175</xdr:rowOff>
    </xdr:to>
    <xdr:sp macro="[0]!copiar_observações_do_cliente_na_OP" textlink="">
      <xdr:nvSpPr>
        <xdr:cNvPr id="12" name="Retângulo de cantos arredondados 11">
          <a:extLst>
            <a:ext uri="{FF2B5EF4-FFF2-40B4-BE49-F238E27FC236}">
              <a16:creationId xmlns:a16="http://schemas.microsoft.com/office/drawing/2014/main" id="{00000000-0008-0000-0800-00000C000000}"/>
            </a:ext>
          </a:extLst>
        </xdr:cNvPr>
        <xdr:cNvSpPr/>
      </xdr:nvSpPr>
      <xdr:spPr>
        <a:xfrm>
          <a:off x="1371600" y="3381375"/>
          <a:ext cx="576000" cy="216000"/>
        </a:xfrm>
        <a:prstGeom prst="roundRect">
          <a:avLst/>
        </a:prstGeom>
        <a:solidFill>
          <a:schemeClr val="bg1">
            <a:lumMod val="75000"/>
          </a:schemeClr>
        </a:solidFill>
        <a:ln>
          <a:noFill/>
        </a:ln>
        <a:effectLst/>
        <a:scene3d>
          <a:camera prst="orthographicFront">
            <a:rot lat="0" lon="0" rev="0"/>
          </a:camera>
          <a:lightRig rig="chilly" dir="t">
            <a:rot lat="0" lon="0" rev="18480000"/>
          </a:lightRig>
        </a:scene3d>
        <a:sp3d prstMaterial="clear">
          <a:bevelT h="63500"/>
        </a:sp3d>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pt-BR" sz="1000" b="1">
              <a:solidFill>
                <a:schemeClr val="tx1">
                  <a:lumMod val="75000"/>
                  <a:lumOff val="25000"/>
                </a:schemeClr>
              </a:solidFill>
            </a:rPr>
            <a:t>Copiar</a:t>
          </a:r>
        </a:p>
      </xdr:txBody>
    </xdr:sp>
    <xdr:clientData fPrintsWithSheet="0"/>
  </xdr:twoCellAnchor>
  <xdr:twoCellAnchor editAs="oneCell">
    <xdr:from>
      <xdr:col>7</xdr:col>
      <xdr:colOff>180975</xdr:colOff>
      <xdr:row>8</xdr:row>
      <xdr:rowOff>152400</xdr:rowOff>
    </xdr:from>
    <xdr:to>
      <xdr:col>7</xdr:col>
      <xdr:colOff>756975</xdr:colOff>
      <xdr:row>8</xdr:row>
      <xdr:rowOff>368400</xdr:rowOff>
    </xdr:to>
    <xdr:sp macro="[0]!copiar_observações_opção_1_na_OP" textlink="">
      <xdr:nvSpPr>
        <xdr:cNvPr id="17" name="Retângulo de cantos arredondados 16">
          <a:extLst>
            <a:ext uri="{FF2B5EF4-FFF2-40B4-BE49-F238E27FC236}">
              <a16:creationId xmlns:a16="http://schemas.microsoft.com/office/drawing/2014/main" id="{00000000-0008-0000-0800-000011000000}"/>
            </a:ext>
          </a:extLst>
        </xdr:cNvPr>
        <xdr:cNvSpPr/>
      </xdr:nvSpPr>
      <xdr:spPr>
        <a:xfrm>
          <a:off x="6248400" y="2286000"/>
          <a:ext cx="576000" cy="216000"/>
        </a:xfrm>
        <a:prstGeom prst="roundRect">
          <a:avLst/>
        </a:prstGeom>
        <a:solidFill>
          <a:schemeClr val="bg1">
            <a:lumMod val="75000"/>
          </a:schemeClr>
        </a:solidFill>
        <a:ln>
          <a:noFill/>
        </a:ln>
        <a:effectLst/>
        <a:scene3d>
          <a:camera prst="orthographicFront">
            <a:rot lat="0" lon="0" rev="0"/>
          </a:camera>
          <a:lightRig rig="chilly" dir="t">
            <a:rot lat="0" lon="0" rev="18480000"/>
          </a:lightRig>
        </a:scene3d>
        <a:sp3d prstMaterial="clear">
          <a:bevelT h="63500"/>
        </a:sp3d>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pt-BR" sz="1000" b="1">
              <a:solidFill>
                <a:schemeClr val="tx1">
                  <a:lumMod val="75000"/>
                  <a:lumOff val="25000"/>
                </a:schemeClr>
              </a:solidFill>
            </a:rPr>
            <a:t>Copiar</a:t>
          </a:r>
        </a:p>
      </xdr:txBody>
    </xdr:sp>
    <xdr:clientData fPrintsWithSheet="0"/>
  </xdr:twoCellAnchor>
  <xdr:twoCellAnchor editAs="oneCell">
    <xdr:from>
      <xdr:col>7</xdr:col>
      <xdr:colOff>180975</xdr:colOff>
      <xdr:row>10</xdr:row>
      <xdr:rowOff>171450</xdr:rowOff>
    </xdr:from>
    <xdr:to>
      <xdr:col>7</xdr:col>
      <xdr:colOff>756975</xdr:colOff>
      <xdr:row>10</xdr:row>
      <xdr:rowOff>387450</xdr:rowOff>
    </xdr:to>
    <xdr:sp macro="[0]!copiar_observações_opção_2_na_OP" textlink="">
      <xdr:nvSpPr>
        <xdr:cNvPr id="18" name="Retângulo de cantos arredondados 17">
          <a:extLst>
            <a:ext uri="{FF2B5EF4-FFF2-40B4-BE49-F238E27FC236}">
              <a16:creationId xmlns:a16="http://schemas.microsoft.com/office/drawing/2014/main" id="{00000000-0008-0000-0800-000012000000}"/>
            </a:ext>
          </a:extLst>
        </xdr:cNvPr>
        <xdr:cNvSpPr/>
      </xdr:nvSpPr>
      <xdr:spPr>
        <a:xfrm>
          <a:off x="6248400" y="2990850"/>
          <a:ext cx="576000" cy="216000"/>
        </a:xfrm>
        <a:prstGeom prst="roundRect">
          <a:avLst/>
        </a:prstGeom>
        <a:solidFill>
          <a:schemeClr val="bg1">
            <a:lumMod val="75000"/>
          </a:schemeClr>
        </a:solidFill>
        <a:ln>
          <a:noFill/>
        </a:ln>
        <a:effectLst/>
        <a:scene3d>
          <a:camera prst="orthographicFront">
            <a:rot lat="0" lon="0" rev="0"/>
          </a:camera>
          <a:lightRig rig="chilly" dir="t">
            <a:rot lat="0" lon="0" rev="18480000"/>
          </a:lightRig>
        </a:scene3d>
        <a:sp3d prstMaterial="clear">
          <a:bevelT h="63500"/>
        </a:sp3d>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pt-BR" sz="1000" b="1">
              <a:solidFill>
                <a:schemeClr val="tx1">
                  <a:lumMod val="75000"/>
                  <a:lumOff val="25000"/>
                </a:schemeClr>
              </a:solidFill>
            </a:rPr>
            <a:t>Copiar</a:t>
          </a:r>
        </a:p>
      </xdr:txBody>
    </xdr:sp>
    <xdr:clientData fPrintsWithSheet="0"/>
  </xdr:twoCellAnchor>
  <xdr:twoCellAnchor editAs="oneCell">
    <xdr:from>
      <xdr:col>7</xdr:col>
      <xdr:colOff>180975</xdr:colOff>
      <xdr:row>12</xdr:row>
      <xdr:rowOff>161925</xdr:rowOff>
    </xdr:from>
    <xdr:to>
      <xdr:col>7</xdr:col>
      <xdr:colOff>756975</xdr:colOff>
      <xdr:row>12</xdr:row>
      <xdr:rowOff>377925</xdr:rowOff>
    </xdr:to>
    <xdr:sp macro="[0]!copiar_observações_opção_3_na_OP" textlink="">
      <xdr:nvSpPr>
        <xdr:cNvPr id="19" name="Retângulo de cantos arredondados 18">
          <a:extLst>
            <a:ext uri="{FF2B5EF4-FFF2-40B4-BE49-F238E27FC236}">
              <a16:creationId xmlns:a16="http://schemas.microsoft.com/office/drawing/2014/main" id="{00000000-0008-0000-0800-000013000000}"/>
            </a:ext>
          </a:extLst>
        </xdr:cNvPr>
        <xdr:cNvSpPr/>
      </xdr:nvSpPr>
      <xdr:spPr>
        <a:xfrm>
          <a:off x="6248400" y="3667125"/>
          <a:ext cx="576000" cy="216000"/>
        </a:xfrm>
        <a:prstGeom prst="roundRect">
          <a:avLst/>
        </a:prstGeom>
        <a:solidFill>
          <a:schemeClr val="bg1">
            <a:lumMod val="75000"/>
          </a:schemeClr>
        </a:solidFill>
        <a:ln>
          <a:noFill/>
        </a:ln>
        <a:effectLst/>
        <a:scene3d>
          <a:camera prst="orthographicFront">
            <a:rot lat="0" lon="0" rev="0"/>
          </a:camera>
          <a:lightRig rig="chilly" dir="t">
            <a:rot lat="0" lon="0" rev="18480000"/>
          </a:lightRig>
        </a:scene3d>
        <a:sp3d prstMaterial="clear">
          <a:bevelT h="63500"/>
        </a:sp3d>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pt-BR" sz="1000" b="1">
              <a:solidFill>
                <a:schemeClr val="tx1">
                  <a:lumMod val="75000"/>
                  <a:lumOff val="25000"/>
                </a:schemeClr>
              </a:solidFill>
            </a:rPr>
            <a:t>Copiar</a:t>
          </a:r>
        </a:p>
      </xdr:txBody>
    </xdr:sp>
    <xdr:clientData fPrintsWithSheet="0"/>
  </xdr:twoCellAnchor>
  <xdr:twoCellAnchor editAs="oneCell">
    <xdr:from>
      <xdr:col>4</xdr:col>
      <xdr:colOff>314325</xdr:colOff>
      <xdr:row>0</xdr:row>
      <xdr:rowOff>47625</xdr:rowOff>
    </xdr:from>
    <xdr:to>
      <xdr:col>5</xdr:col>
      <xdr:colOff>289275</xdr:colOff>
      <xdr:row>1</xdr:row>
      <xdr:rowOff>68925</xdr:rowOff>
    </xdr:to>
    <xdr:sp macro="[0]!ir_para_menu" textlink="">
      <xdr:nvSpPr>
        <xdr:cNvPr id="13" name="Retângulo de cantos arredondados 12">
          <a:extLst>
            <a:ext uri="{FF2B5EF4-FFF2-40B4-BE49-F238E27FC236}">
              <a16:creationId xmlns:a16="http://schemas.microsoft.com/office/drawing/2014/main" id="{00000000-0008-0000-0800-00000D000000}"/>
            </a:ext>
          </a:extLst>
        </xdr:cNvPr>
        <xdr:cNvSpPr/>
      </xdr:nvSpPr>
      <xdr:spPr bwMode="auto">
        <a:xfrm>
          <a:off x="4038600" y="47625"/>
          <a:ext cx="756000" cy="288000"/>
        </a:xfrm>
        <a:prstGeom prst="roundRect">
          <a:avLst/>
        </a:prstGeom>
        <a:solidFill>
          <a:srgbClr val="00B0F0"/>
        </a:solidFill>
        <a:ln w="9525" cap="flat" cmpd="sng" algn="ctr">
          <a:solidFill>
            <a:srgbClr val="00B0F0"/>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100" b="1">
              <a:solidFill>
                <a:srgbClr val="0000CC"/>
              </a:solidFill>
              <a:latin typeface="Arial" pitchFamily="34" charset="0"/>
              <a:cs typeface="Arial" pitchFamily="34" charset="0"/>
            </a:rPr>
            <a:t>Menu</a:t>
          </a:r>
          <a:endParaRPr lang="pt-BR" sz="1100" b="1">
            <a:solidFill>
              <a:srgbClr val="0000CC"/>
            </a:solidFill>
            <a:latin typeface="Arial" pitchFamily="34" charset="0"/>
            <a:ea typeface="+mn-ea"/>
            <a:cs typeface="Arial" pitchFamily="34" charset="0"/>
          </a:endParaRPr>
        </a:p>
      </xdr:txBody>
    </xdr:sp>
    <xdr:clientData fPrintsWithSheet="0"/>
  </xdr:twoCellAnchor>
  <xdr:twoCellAnchor editAs="absolute">
    <xdr:from>
      <xdr:col>7</xdr:col>
      <xdr:colOff>19050</xdr:colOff>
      <xdr:row>0</xdr:row>
      <xdr:rowOff>47626</xdr:rowOff>
    </xdr:from>
    <xdr:to>
      <xdr:col>7</xdr:col>
      <xdr:colOff>775050</xdr:colOff>
      <xdr:row>1</xdr:row>
      <xdr:rowOff>68926</xdr:rowOff>
    </xdr:to>
    <xdr:sp macro="[0]!ir_para_cliente" textlink="$P$4">
      <xdr:nvSpPr>
        <xdr:cNvPr id="14" name="Retângulo de cantos arredondados 13">
          <a:extLst>
            <a:ext uri="{FF2B5EF4-FFF2-40B4-BE49-F238E27FC236}">
              <a16:creationId xmlns:a16="http://schemas.microsoft.com/office/drawing/2014/main" id="{00000000-0008-0000-0800-00000E000000}"/>
            </a:ext>
          </a:extLst>
        </xdr:cNvPr>
        <xdr:cNvSpPr/>
      </xdr:nvSpPr>
      <xdr:spPr bwMode="auto">
        <a:xfrm>
          <a:off x="6086475" y="47626"/>
          <a:ext cx="756000" cy="288000"/>
        </a:xfrm>
        <a:prstGeom prst="roundRect">
          <a:avLst/>
        </a:prstGeom>
        <a:solidFill>
          <a:schemeClr val="accent2"/>
        </a:solidFill>
        <a:ln w="9525" cap="flat" cmpd="sng" algn="ctr">
          <a:solidFill>
            <a:schemeClr val="accent2"/>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fld id="{378A8FE1-74F5-4B3D-9ECD-17CAE71A93E8}" type="TxLink">
            <a:rPr lang="en-US" sz="1000" b="0" i="0" u="none" strike="noStrike">
              <a:solidFill>
                <a:srgbClr val="000000"/>
              </a:solidFill>
              <a:latin typeface="Calibri"/>
              <a:cs typeface="Calibri"/>
            </a:rPr>
            <a:pPr algn="ctr"/>
            <a:t>Cliente</a:t>
          </a:fld>
          <a:endParaRPr lang="pt-BR" sz="1050" b="1">
            <a:solidFill>
              <a:schemeClr val="accent2">
                <a:lumMod val="50000"/>
              </a:schemeClr>
            </a:solidFill>
          </a:endParaRPr>
        </a:p>
      </xdr:txBody>
    </xdr:sp>
    <xdr:clientData fPrintsWithSheet="0"/>
  </xdr:twoCellAnchor>
  <xdr:twoCellAnchor editAs="oneCell">
    <xdr:from>
      <xdr:col>12</xdr:col>
      <xdr:colOff>752475</xdr:colOff>
      <xdr:row>0</xdr:row>
      <xdr:rowOff>47625</xdr:rowOff>
    </xdr:from>
    <xdr:to>
      <xdr:col>13</xdr:col>
      <xdr:colOff>727425</xdr:colOff>
      <xdr:row>1</xdr:row>
      <xdr:rowOff>68925</xdr:rowOff>
    </xdr:to>
    <xdr:sp macro="[0]!ir_para_BD_da_OP" textlink="">
      <xdr:nvSpPr>
        <xdr:cNvPr id="15" name="Retângulo de cantos arredondados 14">
          <a:extLst>
            <a:ext uri="{FF2B5EF4-FFF2-40B4-BE49-F238E27FC236}">
              <a16:creationId xmlns:a16="http://schemas.microsoft.com/office/drawing/2014/main" id="{00000000-0008-0000-0800-00000F000000}"/>
            </a:ext>
          </a:extLst>
        </xdr:cNvPr>
        <xdr:cNvSpPr/>
      </xdr:nvSpPr>
      <xdr:spPr bwMode="auto">
        <a:xfrm>
          <a:off x="10725150" y="47625"/>
          <a:ext cx="756000" cy="288000"/>
        </a:xfrm>
        <a:prstGeom prst="roundRect">
          <a:avLst/>
        </a:prstGeom>
        <a:solidFill>
          <a:srgbClr val="002060"/>
        </a:solidFill>
        <a:ln w="9525" cap="flat" cmpd="sng" algn="ctr">
          <a:solidFill>
            <a:srgbClr val="002060"/>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900" b="1">
              <a:solidFill>
                <a:schemeClr val="accent5">
                  <a:lumMod val="40000"/>
                  <a:lumOff val="60000"/>
                </a:schemeClr>
              </a:solidFill>
            </a:rPr>
            <a:t>BD Todas OPs</a:t>
          </a:r>
        </a:p>
      </xdr:txBody>
    </xdr:sp>
    <xdr:clientData fPrintsWithSheet="0"/>
  </xdr:twoCellAnchor>
  <xdr:twoCellAnchor>
    <xdr:from>
      <xdr:col>11</xdr:col>
      <xdr:colOff>66675</xdr:colOff>
      <xdr:row>2</xdr:row>
      <xdr:rowOff>257176</xdr:rowOff>
    </xdr:from>
    <xdr:to>
      <xdr:col>14</xdr:col>
      <xdr:colOff>342900</xdr:colOff>
      <xdr:row>5</xdr:row>
      <xdr:rowOff>28575</xdr:rowOff>
    </xdr:to>
    <xdr:sp macro="" textlink="">
      <xdr:nvSpPr>
        <xdr:cNvPr id="16" name="Retângulo 15">
          <a:extLst>
            <a:ext uri="{FF2B5EF4-FFF2-40B4-BE49-F238E27FC236}">
              <a16:creationId xmlns:a16="http://schemas.microsoft.com/office/drawing/2014/main" id="{00000000-0008-0000-0800-000010000000}"/>
            </a:ext>
          </a:extLst>
        </xdr:cNvPr>
        <xdr:cNvSpPr/>
      </xdr:nvSpPr>
      <xdr:spPr>
        <a:xfrm>
          <a:off x="9258300" y="790576"/>
          <a:ext cx="2619375" cy="571499"/>
        </a:xfrm>
        <a:prstGeom prst="rect">
          <a:avLst/>
        </a:prstGeom>
        <a:solidFill>
          <a:schemeClr val="bg1">
            <a:lumMod val="75000"/>
          </a:schemeClr>
        </a:solidFill>
        <a:ln w="3175">
          <a:solidFill>
            <a:schemeClr val="bg1">
              <a:lumMod val="65000"/>
            </a:schemeClr>
          </a:solidFill>
        </a:ln>
        <a:effectLst/>
        <a:scene3d>
          <a:camera prst="orthographicFront">
            <a:rot lat="0" lon="0" rev="0"/>
          </a:camera>
          <a:lightRig rig="contrasting" dir="t">
            <a:rot lat="0" lon="0" rev="7800000"/>
          </a:lightRig>
        </a:scene3d>
        <a:sp3d>
          <a:bevelT w="139700" h="139700"/>
        </a:sp3d>
      </xdr:spPr>
      <xdr:style>
        <a:lnRef idx="2">
          <a:schemeClr val="accent6"/>
        </a:lnRef>
        <a:fillRef idx="1">
          <a:schemeClr val="lt1"/>
        </a:fillRef>
        <a:effectRef idx="0">
          <a:schemeClr val="accent6"/>
        </a:effectRef>
        <a:fontRef idx="minor">
          <a:schemeClr val="dk1"/>
        </a:fontRef>
      </xdr:style>
      <xdr:txBody>
        <a:bodyPr vertOverflow="clip" rtlCol="0" anchor="ctr"/>
        <a:lstStyle/>
        <a:p>
          <a:pPr algn="l"/>
          <a:r>
            <a:rPr lang="pt-BR" sz="1000"/>
            <a:t>Se houver necessidade de mais de 10 Cores ou Tamanhos,</a:t>
          </a:r>
          <a:r>
            <a:rPr lang="pt-BR" sz="1000" baseline="0"/>
            <a:t> </a:t>
          </a:r>
          <a:r>
            <a:rPr lang="pt-BR" sz="1000"/>
            <a:t>poderá informar</a:t>
          </a:r>
          <a:r>
            <a:rPr lang="pt-BR" sz="1000" baseline="0"/>
            <a:t> diretamente </a:t>
          </a:r>
          <a:r>
            <a:rPr lang="pt-BR" sz="1000"/>
            <a:t>quando imprimir</a:t>
          </a:r>
          <a:r>
            <a:rPr lang="pt-BR" sz="1000" baseline="0"/>
            <a:t> a Ficha de Acompanhamento.</a:t>
          </a:r>
          <a:endParaRPr lang="pt-BR" sz="10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333375</xdr:colOff>
      <xdr:row>0</xdr:row>
      <xdr:rowOff>47625</xdr:rowOff>
    </xdr:from>
    <xdr:to>
      <xdr:col>6</xdr:col>
      <xdr:colOff>308325</xdr:colOff>
      <xdr:row>1</xdr:row>
      <xdr:rowOff>68925</xdr:rowOff>
    </xdr:to>
    <xdr:sp macro="[0]!ir_para_OP" textlink="">
      <xdr:nvSpPr>
        <xdr:cNvPr id="4" name="Retângulo de cantos arredondados 3">
          <a:extLst>
            <a:ext uri="{FF2B5EF4-FFF2-40B4-BE49-F238E27FC236}">
              <a16:creationId xmlns:a16="http://schemas.microsoft.com/office/drawing/2014/main" id="{00000000-0008-0000-0900-000004000000}"/>
            </a:ext>
          </a:extLst>
        </xdr:cNvPr>
        <xdr:cNvSpPr/>
      </xdr:nvSpPr>
      <xdr:spPr bwMode="auto">
        <a:xfrm>
          <a:off x="4629150" y="47625"/>
          <a:ext cx="756000" cy="288000"/>
        </a:xfrm>
        <a:prstGeom prst="roundRect">
          <a:avLst/>
        </a:prstGeom>
        <a:solidFill>
          <a:schemeClr val="bg1">
            <a:lumMod val="85000"/>
          </a:schemeClr>
        </a:solidFill>
        <a:ln w="9525" cap="flat" cmpd="sng" algn="ctr">
          <a:solidFill>
            <a:schemeClr val="bg1">
              <a:lumMod val="85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100" b="1">
              <a:solidFill>
                <a:schemeClr val="tx1">
                  <a:lumMod val="65000"/>
                  <a:lumOff val="35000"/>
                </a:schemeClr>
              </a:solidFill>
            </a:rPr>
            <a:t>Voltar</a:t>
          </a:r>
        </a:p>
      </xdr:txBody>
    </xdr:sp>
    <xdr:clientData fPrintsWithSheet="0"/>
  </xdr:twoCellAnchor>
  <xdr:twoCellAnchor editAs="absolute">
    <xdr:from>
      <xdr:col>4</xdr:col>
      <xdr:colOff>342900</xdr:colOff>
      <xdr:row>0</xdr:row>
      <xdr:rowOff>47625</xdr:rowOff>
    </xdr:from>
    <xdr:to>
      <xdr:col>5</xdr:col>
      <xdr:colOff>245850</xdr:colOff>
      <xdr:row>0</xdr:row>
      <xdr:rowOff>227625</xdr:rowOff>
    </xdr:to>
    <xdr:sp macro="[0]!ordem_OP_em_consulta_OP" textlink="">
      <xdr:nvSpPr>
        <xdr:cNvPr id="6" name="Retângulo de cantos arredondados 5">
          <a:extLst>
            <a:ext uri="{FF2B5EF4-FFF2-40B4-BE49-F238E27FC236}">
              <a16:creationId xmlns:a16="http://schemas.microsoft.com/office/drawing/2014/main" id="{00000000-0008-0000-0900-000006000000}"/>
            </a:ext>
          </a:extLst>
        </xdr:cNvPr>
        <xdr:cNvSpPr/>
      </xdr:nvSpPr>
      <xdr:spPr bwMode="auto">
        <a:xfrm>
          <a:off x="3857625" y="47625"/>
          <a:ext cx="684000" cy="180000"/>
        </a:xfrm>
        <a:prstGeom prst="roundRect">
          <a:avLst/>
        </a:prstGeom>
        <a:solidFill>
          <a:schemeClr val="accent1">
            <a:lumMod val="20000"/>
            <a:lumOff val="80000"/>
          </a:schemeClr>
        </a:solidFill>
        <a:ln w="9525" cap="flat" cmpd="sng" algn="ctr">
          <a:solidFill>
            <a:schemeClr val="accent1">
              <a:lumMod val="75000"/>
            </a:schemeClr>
          </a:solid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lang="pt-BR" sz="900" b="0">
              <a:solidFill>
                <a:srgbClr val="0000FF"/>
              </a:solidFill>
              <a:latin typeface="Arial" pitchFamily="34" charset="0"/>
              <a:cs typeface="Arial" pitchFamily="34" charset="0"/>
            </a:rPr>
            <a:t>Ordem </a:t>
          </a:r>
          <a:r>
            <a:rPr lang="pt-BR" sz="900" b="1">
              <a:solidFill>
                <a:srgbClr val="0000FF"/>
              </a:solidFill>
              <a:latin typeface="Arial" pitchFamily="34" charset="0"/>
              <a:cs typeface="Arial" pitchFamily="34" charset="0"/>
            </a:rPr>
            <a:t>OP</a:t>
          </a:r>
          <a:r>
            <a:rPr lang="pt-BR" sz="900" b="0">
              <a:solidFill>
                <a:srgbClr val="0000FF"/>
              </a:solidFill>
              <a:latin typeface="Arial" pitchFamily="34" charset="0"/>
              <a:cs typeface="Arial" pitchFamily="34" charset="0"/>
            </a:rPr>
            <a:t>.</a:t>
          </a:r>
        </a:p>
      </xdr:txBody>
    </xdr:sp>
    <xdr:clientData fPrintsWithSheet="0"/>
  </xdr:twoCellAnchor>
  <xdr:twoCellAnchor editAs="absolute">
    <xdr:from>
      <xdr:col>4</xdr:col>
      <xdr:colOff>342900</xdr:colOff>
      <xdr:row>1</xdr:row>
      <xdr:rowOff>9525</xdr:rowOff>
    </xdr:from>
    <xdr:to>
      <xdr:col>5</xdr:col>
      <xdr:colOff>245850</xdr:colOff>
      <xdr:row>1</xdr:row>
      <xdr:rowOff>189525</xdr:rowOff>
    </xdr:to>
    <xdr:sp macro="[0]!ordem_ref_em_consulta_OP" textlink="">
      <xdr:nvSpPr>
        <xdr:cNvPr id="7" name="Retângulo de cantos arredondados 6">
          <a:extLst>
            <a:ext uri="{FF2B5EF4-FFF2-40B4-BE49-F238E27FC236}">
              <a16:creationId xmlns:a16="http://schemas.microsoft.com/office/drawing/2014/main" id="{00000000-0008-0000-0900-000007000000}"/>
            </a:ext>
          </a:extLst>
        </xdr:cNvPr>
        <xdr:cNvSpPr/>
      </xdr:nvSpPr>
      <xdr:spPr bwMode="auto">
        <a:xfrm>
          <a:off x="3857625" y="276225"/>
          <a:ext cx="684000" cy="180000"/>
        </a:xfrm>
        <a:prstGeom prst="roundRect">
          <a:avLst/>
        </a:prstGeom>
        <a:solidFill>
          <a:schemeClr val="accent1">
            <a:lumMod val="20000"/>
            <a:lumOff val="80000"/>
          </a:schemeClr>
        </a:solidFill>
        <a:ln w="9525" cap="flat" cmpd="sng" algn="ctr">
          <a:solidFill>
            <a:schemeClr val="accent1">
              <a:lumMod val="75000"/>
            </a:schemeClr>
          </a:solid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lang="pt-BR" sz="900" b="0">
              <a:solidFill>
                <a:srgbClr val="0000FF"/>
              </a:solidFill>
              <a:latin typeface="Arial" pitchFamily="34" charset="0"/>
              <a:cs typeface="Arial" pitchFamily="34" charset="0"/>
            </a:rPr>
            <a:t>Ordem </a:t>
          </a:r>
          <a:r>
            <a:rPr lang="pt-BR" sz="900" b="1">
              <a:solidFill>
                <a:srgbClr val="0000FF"/>
              </a:solidFill>
              <a:latin typeface="Arial" pitchFamily="34" charset="0"/>
              <a:cs typeface="Arial" pitchFamily="34" charset="0"/>
            </a:rPr>
            <a:t>Ref</a:t>
          </a:r>
          <a:r>
            <a:rPr lang="pt-BR" sz="900" b="0">
              <a:solidFill>
                <a:srgbClr val="0000FF"/>
              </a:solidFill>
              <a:latin typeface="Arial" pitchFamily="34" charset="0"/>
              <a:cs typeface="Arial" pitchFamily="34" charset="0"/>
            </a:rPr>
            <a:t>.</a:t>
          </a:r>
        </a:p>
      </xdr:txBody>
    </xdr:sp>
    <xdr:clientData fPrintsWithSheet="0"/>
  </xdr:twoCellAnchor>
  <xdr:twoCellAnchor editAs="oneCell">
    <xdr:from>
      <xdr:col>8</xdr:col>
      <xdr:colOff>581025</xdr:colOff>
      <xdr:row>0</xdr:row>
      <xdr:rowOff>47625</xdr:rowOff>
    </xdr:from>
    <xdr:to>
      <xdr:col>9</xdr:col>
      <xdr:colOff>411975</xdr:colOff>
      <xdr:row>1</xdr:row>
      <xdr:rowOff>14925</xdr:rowOff>
    </xdr:to>
    <xdr:sp macro="[0]!limpar_consulta_OP" textlink="">
      <xdr:nvSpPr>
        <xdr:cNvPr id="8" name="Retângulo de cantos arredondados 7">
          <a:extLst>
            <a:ext uri="{FF2B5EF4-FFF2-40B4-BE49-F238E27FC236}">
              <a16:creationId xmlns:a16="http://schemas.microsoft.com/office/drawing/2014/main" id="{00000000-0008-0000-0900-000008000000}"/>
            </a:ext>
          </a:extLst>
        </xdr:cNvPr>
        <xdr:cNvSpPr>
          <a:spLocks/>
        </xdr:cNvSpPr>
      </xdr:nvSpPr>
      <xdr:spPr>
        <a:xfrm>
          <a:off x="7219950" y="47625"/>
          <a:ext cx="612000" cy="234000"/>
        </a:xfrm>
        <a:prstGeom prst="roundRect">
          <a:avLst/>
        </a:prstGeom>
        <a:solidFill>
          <a:srgbClr val="FF0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5"/>
        </a:lnRef>
        <a:fillRef idx="3">
          <a:schemeClr val="accent5"/>
        </a:fillRef>
        <a:effectRef idx="3">
          <a:schemeClr val="accent5"/>
        </a:effectRef>
        <a:fontRef idx="minor">
          <a:schemeClr val="lt1"/>
        </a:fontRef>
      </xdr:style>
      <xdr:txBody>
        <a:bodyPr vertOverflow="clip" rtlCol="0" anchor="ctr"/>
        <a:lstStyle/>
        <a:p>
          <a:pPr algn="ctr"/>
          <a:r>
            <a:rPr lang="pt-BR" sz="1100" b="1">
              <a:latin typeface="+mn-lt"/>
              <a:cs typeface="Arial" pitchFamily="34" charset="0"/>
            </a:rPr>
            <a:t>Limpar</a:t>
          </a:r>
        </a:p>
      </xdr:txBody>
    </xdr:sp>
    <xdr:clientData fPrintsWithSheet="0"/>
  </xdr:twoCellAnchor>
  <xdr:twoCellAnchor editAs="absolute">
    <xdr:from>
      <xdr:col>8</xdr:col>
      <xdr:colOff>285750</xdr:colOff>
      <xdr:row>5</xdr:row>
      <xdr:rowOff>200025</xdr:rowOff>
    </xdr:from>
    <xdr:to>
      <xdr:col>10</xdr:col>
      <xdr:colOff>762001</xdr:colOff>
      <xdr:row>8</xdr:row>
      <xdr:rowOff>57151</xdr:rowOff>
    </xdr:to>
    <xdr:sp macro="[0]!criar_nova_op_com_estas_informações" textlink="">
      <xdr:nvSpPr>
        <xdr:cNvPr id="9" name="Seta para a esquerda 8">
          <a:extLst>
            <a:ext uri="{FF2B5EF4-FFF2-40B4-BE49-F238E27FC236}">
              <a16:creationId xmlns:a16="http://schemas.microsoft.com/office/drawing/2014/main" id="{00000000-0008-0000-0900-000009000000}"/>
            </a:ext>
          </a:extLst>
        </xdr:cNvPr>
        <xdr:cNvSpPr/>
      </xdr:nvSpPr>
      <xdr:spPr bwMode="auto">
        <a:xfrm>
          <a:off x="6924675" y="1533525"/>
          <a:ext cx="2038351" cy="657226"/>
        </a:xfrm>
        <a:prstGeom prst="leftArrow">
          <a:avLst>
            <a:gd name="adj1" fmla="val 61594"/>
            <a:gd name="adj2" fmla="val 50000"/>
          </a:avLst>
        </a:prstGeom>
        <a:solidFill>
          <a:srgbClr val="FFC000"/>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100" b="1">
              <a:solidFill>
                <a:sysClr val="windowText" lastClr="000000"/>
              </a:solidFill>
              <a:latin typeface="Arial" pitchFamily="34" charset="0"/>
              <a:cs typeface="Arial" pitchFamily="34" charset="0"/>
            </a:rPr>
            <a:t>Criar nova OP com</a:t>
          </a:r>
        </a:p>
        <a:p>
          <a:pPr algn="ctr"/>
          <a:r>
            <a:rPr lang="pt-BR" sz="1100" b="1">
              <a:solidFill>
                <a:sysClr val="windowText" lastClr="000000"/>
              </a:solidFill>
              <a:latin typeface="Arial" pitchFamily="34" charset="0"/>
              <a:cs typeface="Arial" pitchFamily="34" charset="0"/>
            </a:rPr>
            <a:t>estas</a:t>
          </a:r>
          <a:r>
            <a:rPr lang="pt-BR" sz="1100" b="1" baseline="0">
              <a:solidFill>
                <a:sysClr val="windowText" lastClr="000000"/>
              </a:solidFill>
              <a:latin typeface="Arial" pitchFamily="34" charset="0"/>
              <a:cs typeface="Arial" pitchFamily="34" charset="0"/>
            </a:rPr>
            <a:t> informações</a:t>
          </a:r>
          <a:endParaRPr lang="pt-BR" sz="1100" b="1">
            <a:solidFill>
              <a:sysClr val="windowText" lastClr="000000"/>
            </a:solidFill>
            <a:latin typeface="Arial" pitchFamily="34" charset="0"/>
            <a:cs typeface="Arial" pitchFamily="34" charset="0"/>
          </a:endParaRPr>
        </a:p>
      </xdr:txBody>
    </xdr:sp>
    <xdr:clientData fPrintsWithSheet="0"/>
  </xdr:twoCellAnchor>
  <xdr:twoCellAnchor editAs="oneCell">
    <xdr:from>
      <xdr:col>6</xdr:col>
      <xdr:colOff>390525</xdr:colOff>
      <xdr:row>0</xdr:row>
      <xdr:rowOff>47625</xdr:rowOff>
    </xdr:from>
    <xdr:to>
      <xdr:col>7</xdr:col>
      <xdr:colOff>437475</xdr:colOff>
      <xdr:row>1</xdr:row>
      <xdr:rowOff>68925</xdr:rowOff>
    </xdr:to>
    <xdr:sp macro="[0]!ir_para_ficha_acompanhamento" textlink="">
      <xdr:nvSpPr>
        <xdr:cNvPr id="10" name="Retângulo de cantos arredondados 9">
          <a:extLst>
            <a:ext uri="{FF2B5EF4-FFF2-40B4-BE49-F238E27FC236}">
              <a16:creationId xmlns:a16="http://schemas.microsoft.com/office/drawing/2014/main" id="{00000000-0008-0000-0900-00000A000000}"/>
            </a:ext>
          </a:extLst>
        </xdr:cNvPr>
        <xdr:cNvSpPr/>
      </xdr:nvSpPr>
      <xdr:spPr bwMode="auto">
        <a:xfrm>
          <a:off x="5467350" y="47625"/>
          <a:ext cx="828000" cy="288000"/>
        </a:xfrm>
        <a:prstGeom prst="roundRect">
          <a:avLst/>
        </a:prstGeom>
        <a:solidFill>
          <a:schemeClr val="bg1">
            <a:lumMod val="65000"/>
          </a:schemeClr>
        </a:solidFill>
        <a:ln w="9525" cap="flat" cmpd="sng" algn="ctr">
          <a:solidFill>
            <a:schemeClr val="bg1">
              <a:lumMod val="65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chemeClr val="tx1">
                  <a:lumMod val="65000"/>
                  <a:lumOff val="35000"/>
                </a:schemeClr>
              </a:solidFill>
            </a:rPr>
            <a:t>Ficha</a:t>
          </a:r>
          <a:r>
            <a:rPr lang="pt-BR" sz="1000" b="1" baseline="0">
              <a:solidFill>
                <a:schemeClr val="tx1">
                  <a:lumMod val="65000"/>
                  <a:lumOff val="35000"/>
                </a:schemeClr>
              </a:solidFill>
            </a:rPr>
            <a:t> Acomp.</a:t>
          </a:r>
          <a:endParaRPr lang="pt-BR" sz="1000" b="1">
            <a:solidFill>
              <a:schemeClr val="tx1">
                <a:lumMod val="65000"/>
                <a:lumOff val="35000"/>
              </a:schemeClr>
            </a:solidFill>
          </a:endParaRPr>
        </a:p>
      </xdr:txBody>
    </xdr:sp>
    <xdr:clientData fPrintsWithSheet="0"/>
  </xdr:twoCellAnchor>
  <xdr:twoCellAnchor editAs="oneCell">
    <xdr:from>
      <xdr:col>11</xdr:col>
      <xdr:colOff>0</xdr:colOff>
      <xdr:row>0</xdr:row>
      <xdr:rowOff>47625</xdr:rowOff>
    </xdr:from>
    <xdr:to>
      <xdr:col>11</xdr:col>
      <xdr:colOff>756000</xdr:colOff>
      <xdr:row>1</xdr:row>
      <xdr:rowOff>68925</xdr:rowOff>
    </xdr:to>
    <xdr:sp macro="[0]!ir_para_BD_da_OP" textlink="">
      <xdr:nvSpPr>
        <xdr:cNvPr id="11" name="Retângulo de cantos arredondados 10">
          <a:extLst>
            <a:ext uri="{FF2B5EF4-FFF2-40B4-BE49-F238E27FC236}">
              <a16:creationId xmlns:a16="http://schemas.microsoft.com/office/drawing/2014/main" id="{00000000-0008-0000-0900-00000B000000}"/>
            </a:ext>
          </a:extLst>
        </xdr:cNvPr>
        <xdr:cNvSpPr/>
      </xdr:nvSpPr>
      <xdr:spPr bwMode="auto">
        <a:xfrm>
          <a:off x="8982075" y="47625"/>
          <a:ext cx="756000" cy="288000"/>
        </a:xfrm>
        <a:prstGeom prst="roundRect">
          <a:avLst/>
        </a:prstGeom>
        <a:solidFill>
          <a:srgbClr val="002060"/>
        </a:solidFill>
        <a:ln w="9525" cap="flat" cmpd="sng" algn="ctr">
          <a:solidFill>
            <a:srgbClr val="002060"/>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900" b="1">
              <a:solidFill>
                <a:schemeClr val="accent5">
                  <a:lumMod val="40000"/>
                  <a:lumOff val="60000"/>
                </a:schemeClr>
              </a:solidFill>
            </a:rPr>
            <a:t>BD Todas OPs</a:t>
          </a:r>
        </a:p>
      </xdr:txBody>
    </xdr:sp>
    <xdr:clientData fPrintsWithSheet="0"/>
  </xdr:twoCellAnchor>
  <xdr:twoCellAnchor editAs="oneCell">
    <xdr:from>
      <xdr:col>7</xdr:col>
      <xdr:colOff>523875</xdr:colOff>
      <xdr:row>0</xdr:row>
      <xdr:rowOff>47625</xdr:rowOff>
    </xdr:from>
    <xdr:to>
      <xdr:col>8</xdr:col>
      <xdr:colOff>498825</xdr:colOff>
      <xdr:row>1</xdr:row>
      <xdr:rowOff>68925</xdr:rowOff>
    </xdr:to>
    <xdr:sp macro="[0]!ir_para_menu" textlink="">
      <xdr:nvSpPr>
        <xdr:cNvPr id="12" name="Retângulo de cantos arredondados 11">
          <a:extLst>
            <a:ext uri="{FF2B5EF4-FFF2-40B4-BE49-F238E27FC236}">
              <a16:creationId xmlns:a16="http://schemas.microsoft.com/office/drawing/2014/main" id="{00000000-0008-0000-0900-00000C000000}"/>
            </a:ext>
          </a:extLst>
        </xdr:cNvPr>
        <xdr:cNvSpPr/>
      </xdr:nvSpPr>
      <xdr:spPr bwMode="auto">
        <a:xfrm>
          <a:off x="6381750" y="47625"/>
          <a:ext cx="756000" cy="288000"/>
        </a:xfrm>
        <a:prstGeom prst="roundRect">
          <a:avLst/>
        </a:prstGeom>
        <a:solidFill>
          <a:srgbClr val="00B0F0"/>
        </a:solidFill>
        <a:ln w="9525" cap="flat" cmpd="sng" algn="ctr">
          <a:solidFill>
            <a:srgbClr val="00B0F0"/>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100" b="1">
              <a:solidFill>
                <a:srgbClr val="0000CC"/>
              </a:solidFill>
              <a:latin typeface="Arial" pitchFamily="34" charset="0"/>
              <a:cs typeface="Arial" pitchFamily="34" charset="0"/>
            </a:rPr>
            <a:t>Menu</a:t>
          </a:r>
          <a:endParaRPr lang="pt-BR" sz="1100" b="1">
            <a:solidFill>
              <a:srgbClr val="0000CC"/>
            </a:solidFill>
            <a:latin typeface="Arial" pitchFamily="34" charset="0"/>
            <a:ea typeface="+mn-ea"/>
            <a:cs typeface="Arial" pitchFamily="34" charset="0"/>
          </a:endParaRPr>
        </a:p>
      </xdr:txBody>
    </xdr:sp>
    <xdr:clientData fPrintsWithSheet="0"/>
  </xdr:twoCellAnchor>
  <mc:AlternateContent xmlns:mc="http://schemas.openxmlformats.org/markup-compatibility/2006">
    <mc:Choice xmlns:a14="http://schemas.microsoft.com/office/drawing/2010/main" Requires="a14">
      <xdr:twoCellAnchor editAs="oneCell">
        <xdr:from>
          <xdr:col>2</xdr:col>
          <xdr:colOff>171450</xdr:colOff>
          <xdr:row>0</xdr:row>
          <xdr:rowOff>9525</xdr:rowOff>
        </xdr:from>
        <xdr:to>
          <xdr:col>4</xdr:col>
          <xdr:colOff>266700</xdr:colOff>
          <xdr:row>1</xdr:row>
          <xdr:rowOff>9525</xdr:rowOff>
        </xdr:to>
        <xdr:sp macro="" textlink="">
          <xdr:nvSpPr>
            <xdr:cNvPr id="21506" name="Drop Down 2" hidden="1">
              <a:extLst>
                <a:ext uri="{63B3BB69-23CF-44E3-9099-C40C66FF867C}">
                  <a14:compatExt spid="_x0000_s21506"/>
                </a:ext>
                <a:ext uri="{FF2B5EF4-FFF2-40B4-BE49-F238E27FC236}">
                  <a16:creationId xmlns:a16="http://schemas.microsoft.com/office/drawing/2014/main" id="{00000000-0008-0000-0900-0000025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xdr:twoCellAnchor editAs="oneCell">
    <xdr:from>
      <xdr:col>0</xdr:col>
      <xdr:colOff>76200</xdr:colOff>
      <xdr:row>0</xdr:row>
      <xdr:rowOff>57150</xdr:rowOff>
    </xdr:from>
    <xdr:to>
      <xdr:col>2</xdr:col>
      <xdr:colOff>184500</xdr:colOff>
      <xdr:row>0</xdr:row>
      <xdr:rowOff>345150</xdr:rowOff>
    </xdr:to>
    <xdr:sp macro="[0]!ir_de_BD_da_OP_para_consulta_OP" textlink="">
      <xdr:nvSpPr>
        <xdr:cNvPr id="3" name="Retângulo de cantos arredondados 2">
          <a:extLst>
            <a:ext uri="{FF2B5EF4-FFF2-40B4-BE49-F238E27FC236}">
              <a16:creationId xmlns:a16="http://schemas.microsoft.com/office/drawing/2014/main" id="{00000000-0008-0000-0A00-000003000000}"/>
            </a:ext>
          </a:extLst>
        </xdr:cNvPr>
        <xdr:cNvSpPr/>
      </xdr:nvSpPr>
      <xdr:spPr bwMode="auto">
        <a:xfrm>
          <a:off x="76200" y="57150"/>
          <a:ext cx="756000" cy="288000"/>
        </a:xfrm>
        <a:prstGeom prst="roundRect">
          <a:avLst/>
        </a:prstGeom>
        <a:solidFill>
          <a:schemeClr val="accent5">
            <a:lumMod val="60000"/>
            <a:lumOff val="40000"/>
          </a:schemeClr>
        </a:solidFill>
        <a:ln w="9525" cap="flat" cmpd="sng" algn="ctr">
          <a:solidFill>
            <a:schemeClr val="accent5">
              <a:lumMod val="60000"/>
              <a:lumOff val="4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100" b="1">
              <a:solidFill>
                <a:srgbClr val="0070C0"/>
              </a:solidFill>
            </a:rPr>
            <a:t>Consultar</a:t>
          </a:r>
        </a:p>
      </xdr:txBody>
    </xdr:sp>
    <xdr:clientData fPrintsWithSheet="0"/>
  </xdr:twoCellAnchor>
  <xdr:twoCellAnchor editAs="oneCell">
    <xdr:from>
      <xdr:col>3</xdr:col>
      <xdr:colOff>390525</xdr:colOff>
      <xdr:row>0</xdr:row>
      <xdr:rowOff>57150</xdr:rowOff>
    </xdr:from>
    <xdr:to>
      <xdr:col>4</xdr:col>
      <xdr:colOff>603600</xdr:colOff>
      <xdr:row>0</xdr:row>
      <xdr:rowOff>345150</xdr:rowOff>
    </xdr:to>
    <xdr:sp macro="[0]!ir_de_BD_da_OP_para_menu" textlink="">
      <xdr:nvSpPr>
        <xdr:cNvPr id="4" name="Retângulo de cantos arredondados 3">
          <a:extLst>
            <a:ext uri="{FF2B5EF4-FFF2-40B4-BE49-F238E27FC236}">
              <a16:creationId xmlns:a16="http://schemas.microsoft.com/office/drawing/2014/main" id="{00000000-0008-0000-0A00-000004000000}"/>
            </a:ext>
          </a:extLst>
        </xdr:cNvPr>
        <xdr:cNvSpPr/>
      </xdr:nvSpPr>
      <xdr:spPr bwMode="auto">
        <a:xfrm>
          <a:off x="1752600" y="57150"/>
          <a:ext cx="756000" cy="288000"/>
        </a:xfrm>
        <a:prstGeom prst="roundRect">
          <a:avLst/>
        </a:prstGeom>
        <a:solidFill>
          <a:srgbClr val="00B0F0"/>
        </a:solidFill>
        <a:ln w="9525" cap="flat" cmpd="sng" algn="ctr">
          <a:solidFill>
            <a:srgbClr val="00B0F0"/>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100" b="1">
              <a:solidFill>
                <a:srgbClr val="0000CC"/>
              </a:solidFill>
              <a:latin typeface="Arial" pitchFamily="34" charset="0"/>
              <a:cs typeface="Arial" pitchFamily="34" charset="0"/>
            </a:rPr>
            <a:t>Menu</a:t>
          </a:r>
          <a:endParaRPr lang="pt-BR" sz="1100" b="1">
            <a:solidFill>
              <a:srgbClr val="0000CC"/>
            </a:solidFill>
            <a:latin typeface="Arial" pitchFamily="34" charset="0"/>
            <a:ea typeface="+mn-ea"/>
            <a:cs typeface="Arial" pitchFamily="34" charset="0"/>
          </a:endParaRPr>
        </a:p>
      </xdr:txBody>
    </xdr:sp>
    <xdr:clientData fPrintsWithSheet="0"/>
  </xdr:twoCellAnchor>
  <xdr:twoCellAnchor editAs="oneCell">
    <xdr:from>
      <xdr:col>4</xdr:col>
      <xdr:colOff>685800</xdr:colOff>
      <xdr:row>0</xdr:row>
      <xdr:rowOff>57150</xdr:rowOff>
    </xdr:from>
    <xdr:to>
      <xdr:col>5</xdr:col>
      <xdr:colOff>194025</xdr:colOff>
      <xdr:row>0</xdr:row>
      <xdr:rowOff>345150</xdr:rowOff>
    </xdr:to>
    <xdr:sp macro="[0]!limpar_filtro_em_BD_da_OP" textlink="">
      <xdr:nvSpPr>
        <xdr:cNvPr id="5" name="Retângulo de cantos arredondados 4">
          <a:extLst>
            <a:ext uri="{FF2B5EF4-FFF2-40B4-BE49-F238E27FC236}">
              <a16:creationId xmlns:a16="http://schemas.microsoft.com/office/drawing/2014/main" id="{00000000-0008-0000-0A00-000005000000}"/>
            </a:ext>
          </a:extLst>
        </xdr:cNvPr>
        <xdr:cNvSpPr/>
      </xdr:nvSpPr>
      <xdr:spPr bwMode="auto">
        <a:xfrm>
          <a:off x="2590800" y="57150"/>
          <a:ext cx="756000" cy="288000"/>
        </a:xfrm>
        <a:prstGeom prst="roundRect">
          <a:avLst/>
        </a:prstGeom>
        <a:solidFill>
          <a:schemeClr val="bg1"/>
        </a:solidFill>
        <a:ln w="9525" cap="flat" cmpd="sng" algn="ctr">
          <a:solidFill>
            <a:schemeClr val="bg1"/>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rgbClr val="FF0000"/>
              </a:solidFill>
            </a:rPr>
            <a:t>Limpar Filtro</a:t>
          </a:r>
        </a:p>
      </xdr:txBody>
    </xdr:sp>
    <xdr:clientData fPrintsWithSheet="0"/>
  </xdr:twoCellAnchor>
  <xdr:twoCellAnchor editAs="oneCell">
    <xdr:from>
      <xdr:col>2</xdr:col>
      <xdr:colOff>266700</xdr:colOff>
      <xdr:row>0</xdr:row>
      <xdr:rowOff>57150</xdr:rowOff>
    </xdr:from>
    <xdr:to>
      <xdr:col>3</xdr:col>
      <xdr:colOff>308325</xdr:colOff>
      <xdr:row>0</xdr:row>
      <xdr:rowOff>345150</xdr:rowOff>
    </xdr:to>
    <xdr:sp macro="[0]!ir_de_BD_da_OP_para_OP" textlink="">
      <xdr:nvSpPr>
        <xdr:cNvPr id="6" name="Retângulo de cantos arredondados 5">
          <a:extLst>
            <a:ext uri="{FF2B5EF4-FFF2-40B4-BE49-F238E27FC236}">
              <a16:creationId xmlns:a16="http://schemas.microsoft.com/office/drawing/2014/main" id="{00000000-0008-0000-0A00-000006000000}"/>
            </a:ext>
          </a:extLst>
        </xdr:cNvPr>
        <xdr:cNvSpPr/>
      </xdr:nvSpPr>
      <xdr:spPr bwMode="auto">
        <a:xfrm>
          <a:off x="914400" y="57150"/>
          <a:ext cx="756000" cy="288000"/>
        </a:xfrm>
        <a:prstGeom prst="roundRect">
          <a:avLst/>
        </a:prstGeom>
        <a:solidFill>
          <a:schemeClr val="bg1">
            <a:lumMod val="85000"/>
          </a:schemeClr>
        </a:solidFill>
        <a:ln w="9525" cap="flat" cmpd="sng" algn="ctr">
          <a:solidFill>
            <a:schemeClr val="bg1">
              <a:lumMod val="85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100" b="1">
              <a:solidFill>
                <a:schemeClr val="tx1">
                  <a:lumMod val="50000"/>
                  <a:lumOff val="50000"/>
                </a:schemeClr>
              </a:solidFill>
            </a:rPr>
            <a:t>OP</a:t>
          </a:r>
        </a:p>
      </xdr:txBody>
    </xdr:sp>
    <xdr:clientData fPrintsWithSheet="0"/>
  </xdr:twoCellAnchor>
  <xdr:twoCellAnchor editAs="oneCell">
    <xdr:from>
      <xdr:col>5</xdr:col>
      <xdr:colOff>276225</xdr:colOff>
      <xdr:row>0</xdr:row>
      <xdr:rowOff>57150</xdr:rowOff>
    </xdr:from>
    <xdr:to>
      <xdr:col>8</xdr:col>
      <xdr:colOff>39525</xdr:colOff>
      <xdr:row>0</xdr:row>
      <xdr:rowOff>237150</xdr:rowOff>
    </xdr:to>
    <xdr:sp macro="[0]!desproteger_planilha" textlink="">
      <xdr:nvSpPr>
        <xdr:cNvPr id="7" name="Retângulo de cantos arredondados 6">
          <a:extLst>
            <a:ext uri="{FF2B5EF4-FFF2-40B4-BE49-F238E27FC236}">
              <a16:creationId xmlns:a16="http://schemas.microsoft.com/office/drawing/2014/main" id="{00000000-0008-0000-0A00-000007000000}"/>
            </a:ext>
          </a:extLst>
        </xdr:cNvPr>
        <xdr:cNvSpPr/>
      </xdr:nvSpPr>
      <xdr:spPr>
        <a:xfrm>
          <a:off x="3429000" y="57150"/>
          <a:ext cx="792000" cy="180000"/>
        </a:xfrm>
        <a:prstGeom prst="roundRect">
          <a:avLst/>
        </a:prstGeom>
        <a:solidFill>
          <a:srgbClr val="FF0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BR" sz="900" b="1"/>
            <a:t>Desproteger</a:t>
          </a:r>
        </a:p>
      </xdr:txBody>
    </xdr:sp>
    <xdr:clientData fPrintsWithSheet="0"/>
  </xdr:twoCellAnchor>
  <xdr:twoCellAnchor editAs="oneCell">
    <xdr:from>
      <xdr:col>8</xdr:col>
      <xdr:colOff>142875</xdr:colOff>
      <xdr:row>0</xdr:row>
      <xdr:rowOff>19050</xdr:rowOff>
    </xdr:from>
    <xdr:to>
      <xdr:col>14</xdr:col>
      <xdr:colOff>245475</xdr:colOff>
      <xdr:row>0</xdr:row>
      <xdr:rowOff>307050</xdr:rowOff>
    </xdr:to>
    <xdr:sp macro="" textlink="">
      <xdr:nvSpPr>
        <xdr:cNvPr id="8" name="Retângulo 7">
          <a:extLst>
            <a:ext uri="{FF2B5EF4-FFF2-40B4-BE49-F238E27FC236}">
              <a16:creationId xmlns:a16="http://schemas.microsoft.com/office/drawing/2014/main" id="{00000000-0008-0000-0A00-000008000000}"/>
            </a:ext>
          </a:extLst>
        </xdr:cNvPr>
        <xdr:cNvSpPr/>
      </xdr:nvSpPr>
      <xdr:spPr>
        <a:xfrm>
          <a:off x="4324350" y="19050"/>
          <a:ext cx="2160000" cy="288000"/>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pt-BR" sz="1400" b="1">
              <a:solidFill>
                <a:sysClr val="windowText" lastClr="000000"/>
              </a:solidFill>
            </a:rPr>
            <a:t>  Banco de Dados das OPs.</a:t>
          </a:r>
        </a:p>
      </xdr:txBody>
    </xdr:sp>
    <xdr:clientData fPrintsWithSheet="0"/>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76201</xdr:colOff>
      <xdr:row>20</xdr:row>
      <xdr:rowOff>47625</xdr:rowOff>
    </xdr:from>
    <xdr:to>
      <xdr:col>0</xdr:col>
      <xdr:colOff>2628901</xdr:colOff>
      <xdr:row>20</xdr:row>
      <xdr:rowOff>299625</xdr:rowOff>
    </xdr:to>
    <xdr:sp macro="[0]!inserir_linha_em_operações" textlink="">
      <xdr:nvSpPr>
        <xdr:cNvPr id="2" name="Retângulo de cantos arredondados 1">
          <a:extLst>
            <a:ext uri="{FF2B5EF4-FFF2-40B4-BE49-F238E27FC236}">
              <a16:creationId xmlns:a16="http://schemas.microsoft.com/office/drawing/2014/main" id="{00000000-0008-0000-0B00-000002000000}"/>
            </a:ext>
          </a:extLst>
        </xdr:cNvPr>
        <xdr:cNvSpPr/>
      </xdr:nvSpPr>
      <xdr:spPr>
        <a:xfrm>
          <a:off x="76201" y="3914775"/>
          <a:ext cx="2552700" cy="252000"/>
        </a:xfrm>
        <a:prstGeom prst="roundRect">
          <a:avLst/>
        </a:prstGeom>
        <a:solidFill>
          <a:schemeClr val="bg1">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rtlCol="0" anchor="ctr"/>
        <a:lstStyle/>
        <a:p>
          <a:pPr algn="ctr"/>
          <a:r>
            <a:rPr lang="pt-BR" sz="1000" b="1">
              <a:solidFill>
                <a:srgbClr val="0000FF"/>
              </a:solidFill>
              <a:latin typeface="Arial" pitchFamily="34" charset="0"/>
              <a:cs typeface="Arial" pitchFamily="34" charset="0"/>
            </a:rPr>
            <a:t>Inserir linha </a:t>
          </a:r>
          <a:r>
            <a:rPr lang="pt-BR" sz="800" b="1">
              <a:solidFill>
                <a:srgbClr val="0000FF"/>
              </a:solidFill>
              <a:latin typeface="Arial" pitchFamily="34" charset="0"/>
              <a:cs typeface="Arial" pitchFamily="34" charset="0"/>
            </a:rPr>
            <a:t>( </a:t>
          </a:r>
          <a:r>
            <a:rPr lang="pt-BR" sz="800">
              <a:solidFill>
                <a:srgbClr val="0000FF"/>
              </a:solidFill>
              <a:latin typeface="Arial" pitchFamily="34" charset="0"/>
              <a:cs typeface="Arial" pitchFamily="34" charset="0"/>
            </a:rPr>
            <a:t>clique o necessário )</a:t>
          </a:r>
        </a:p>
      </xdr:txBody>
    </xdr:sp>
    <xdr:clientData fPrintsWithSheet="0"/>
  </xdr:twoCellAnchor>
  <xdr:twoCellAnchor editAs="oneCell">
    <xdr:from>
      <xdr:col>0</xdr:col>
      <xdr:colOff>133350</xdr:colOff>
      <xdr:row>0</xdr:row>
      <xdr:rowOff>123825</xdr:rowOff>
    </xdr:from>
    <xdr:to>
      <xdr:col>0</xdr:col>
      <xdr:colOff>400050</xdr:colOff>
      <xdr:row>0</xdr:row>
      <xdr:rowOff>419100</xdr:rowOff>
    </xdr:to>
    <xdr:sp macro="[0]!ordem_operações_em_operações" textlink="">
      <xdr:nvSpPr>
        <xdr:cNvPr id="3" name="Seta para cima 2">
          <a:extLst>
            <a:ext uri="{FF2B5EF4-FFF2-40B4-BE49-F238E27FC236}">
              <a16:creationId xmlns:a16="http://schemas.microsoft.com/office/drawing/2014/main" id="{00000000-0008-0000-0B00-000003000000}"/>
            </a:ext>
          </a:extLst>
        </xdr:cNvPr>
        <xdr:cNvSpPr/>
      </xdr:nvSpPr>
      <xdr:spPr>
        <a:xfrm>
          <a:off x="133350" y="123825"/>
          <a:ext cx="266700" cy="295275"/>
        </a:xfrm>
        <a:prstGeom prst="upArrow">
          <a:avLst/>
        </a:prstGeom>
        <a:solidFill>
          <a:srgbClr val="0000FF"/>
        </a:solidFill>
        <a:ln>
          <a:solidFill>
            <a:srgbClr val="0000FF"/>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pt-BR" sz="1100"/>
        </a:p>
      </xdr:txBody>
    </xdr:sp>
    <xdr:clientData fPrintsWithSheet="0"/>
  </xdr:twoCellAnchor>
  <xdr:twoCellAnchor editAs="oneCell">
    <xdr:from>
      <xdr:col>4</xdr:col>
      <xdr:colOff>76200</xdr:colOff>
      <xdr:row>0</xdr:row>
      <xdr:rowOff>66675</xdr:rowOff>
    </xdr:from>
    <xdr:to>
      <xdr:col>5</xdr:col>
      <xdr:colOff>317850</xdr:colOff>
      <xdr:row>0</xdr:row>
      <xdr:rowOff>354675</xdr:rowOff>
    </xdr:to>
    <xdr:sp macro="[0]!ir_de_operações_para_seq_operacional" textlink="">
      <xdr:nvSpPr>
        <xdr:cNvPr id="6" name="Retângulo de cantos arredondados 5">
          <a:extLst>
            <a:ext uri="{FF2B5EF4-FFF2-40B4-BE49-F238E27FC236}">
              <a16:creationId xmlns:a16="http://schemas.microsoft.com/office/drawing/2014/main" id="{00000000-0008-0000-0B00-000006000000}"/>
            </a:ext>
          </a:extLst>
        </xdr:cNvPr>
        <xdr:cNvSpPr/>
      </xdr:nvSpPr>
      <xdr:spPr bwMode="auto">
        <a:xfrm>
          <a:off x="5981700" y="66675"/>
          <a:ext cx="756000" cy="288000"/>
        </a:xfrm>
        <a:prstGeom prst="roundRect">
          <a:avLst/>
        </a:prstGeom>
        <a:solidFill>
          <a:schemeClr val="bg1">
            <a:lumMod val="75000"/>
          </a:schemeClr>
        </a:solidFill>
        <a:ln w="9525" cap="flat" cmpd="sng" algn="ctr">
          <a:solidFill>
            <a:schemeClr val="bg1">
              <a:lumMod val="75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chemeClr val="tx1">
                  <a:lumMod val="65000"/>
                  <a:lumOff val="35000"/>
                </a:schemeClr>
              </a:solidFill>
            </a:rPr>
            <a:t>Seq.  Op.</a:t>
          </a:r>
        </a:p>
      </xdr:txBody>
    </xdr:sp>
    <xdr:clientData fPrintsWithSheet="0"/>
  </xdr:twoCellAnchor>
  <xdr:twoCellAnchor editAs="oneCell">
    <xdr:from>
      <xdr:col>9</xdr:col>
      <xdr:colOff>466725</xdr:colOff>
      <xdr:row>0</xdr:row>
      <xdr:rowOff>66675</xdr:rowOff>
    </xdr:from>
    <xdr:to>
      <xdr:col>11</xdr:col>
      <xdr:colOff>3525</xdr:colOff>
      <xdr:row>0</xdr:row>
      <xdr:rowOff>354675</xdr:rowOff>
    </xdr:to>
    <xdr:sp macro="[0]!ir_de_operações_para_menu" textlink="">
      <xdr:nvSpPr>
        <xdr:cNvPr id="7" name="Retângulo de cantos arredondados 6">
          <a:extLst>
            <a:ext uri="{FF2B5EF4-FFF2-40B4-BE49-F238E27FC236}">
              <a16:creationId xmlns:a16="http://schemas.microsoft.com/office/drawing/2014/main" id="{00000000-0008-0000-0B00-000007000000}"/>
            </a:ext>
          </a:extLst>
        </xdr:cNvPr>
        <xdr:cNvSpPr/>
      </xdr:nvSpPr>
      <xdr:spPr bwMode="auto">
        <a:xfrm>
          <a:off x="9324975" y="66675"/>
          <a:ext cx="756000" cy="288000"/>
        </a:xfrm>
        <a:prstGeom prst="roundRect">
          <a:avLst/>
        </a:prstGeom>
        <a:solidFill>
          <a:srgbClr val="00B0F0"/>
        </a:solidFill>
        <a:ln w="9525" cap="flat" cmpd="sng" algn="ctr">
          <a:solidFill>
            <a:srgbClr val="00B0F0"/>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100" b="1">
              <a:solidFill>
                <a:srgbClr val="0000CC"/>
              </a:solidFill>
              <a:latin typeface="Arial" pitchFamily="34" charset="0"/>
              <a:cs typeface="Arial" pitchFamily="34" charset="0"/>
            </a:rPr>
            <a:t>Menu</a:t>
          </a:r>
          <a:endParaRPr lang="pt-BR" sz="1100" b="1">
            <a:solidFill>
              <a:srgbClr val="0000CC"/>
            </a:solidFill>
            <a:latin typeface="Arial" pitchFamily="34" charset="0"/>
            <a:ea typeface="+mn-ea"/>
            <a:cs typeface="Arial" pitchFamily="34" charset="0"/>
          </a:endParaRPr>
        </a:p>
      </xdr:txBody>
    </xdr:sp>
    <xdr:clientData fPrintsWithSheet="0"/>
  </xdr:twoCellAnchor>
  <xdr:twoCellAnchor editAs="oneCell">
    <xdr:from>
      <xdr:col>8</xdr:col>
      <xdr:colOff>238125</xdr:colOff>
      <xdr:row>0</xdr:row>
      <xdr:rowOff>66675</xdr:rowOff>
    </xdr:from>
    <xdr:to>
      <xdr:col>9</xdr:col>
      <xdr:colOff>384525</xdr:colOff>
      <xdr:row>0</xdr:row>
      <xdr:rowOff>354675</xdr:rowOff>
    </xdr:to>
    <xdr:sp macro="[0]!limpar_filtro_em_operações" textlink="">
      <xdr:nvSpPr>
        <xdr:cNvPr id="8" name="Retângulo de cantos arredondados 7">
          <a:extLst>
            <a:ext uri="{FF2B5EF4-FFF2-40B4-BE49-F238E27FC236}">
              <a16:creationId xmlns:a16="http://schemas.microsoft.com/office/drawing/2014/main" id="{00000000-0008-0000-0B00-000008000000}"/>
            </a:ext>
          </a:extLst>
        </xdr:cNvPr>
        <xdr:cNvSpPr/>
      </xdr:nvSpPr>
      <xdr:spPr bwMode="auto">
        <a:xfrm>
          <a:off x="8486775" y="66675"/>
          <a:ext cx="756000" cy="288000"/>
        </a:xfrm>
        <a:prstGeom prst="roundRect">
          <a:avLst/>
        </a:prstGeom>
        <a:solidFill>
          <a:schemeClr val="bg1"/>
        </a:solidFill>
        <a:ln w="9525" cap="flat" cmpd="sng" algn="ctr">
          <a:solidFill>
            <a:schemeClr val="bg1"/>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rgbClr val="FF0000"/>
              </a:solidFill>
            </a:rPr>
            <a:t>Limpar Filtro</a:t>
          </a:r>
        </a:p>
      </xdr:txBody>
    </xdr:sp>
    <xdr:clientData fPrintsWithSheet="0"/>
  </xdr:twoCellAnchor>
  <xdr:twoCellAnchor editAs="oneCell">
    <xdr:from>
      <xdr:col>1</xdr:col>
      <xdr:colOff>114300</xdr:colOff>
      <xdr:row>20</xdr:row>
      <xdr:rowOff>47625</xdr:rowOff>
    </xdr:from>
    <xdr:to>
      <xdr:col>1</xdr:col>
      <xdr:colOff>906300</xdr:colOff>
      <xdr:row>20</xdr:row>
      <xdr:rowOff>299625</xdr:rowOff>
    </xdr:to>
    <xdr:sp macro="[0]!inserir_10_linhas_em_operações" textlink="">
      <xdr:nvSpPr>
        <xdr:cNvPr id="9" name="Retângulo de cantos arredondados 8">
          <a:extLst>
            <a:ext uri="{FF2B5EF4-FFF2-40B4-BE49-F238E27FC236}">
              <a16:creationId xmlns:a16="http://schemas.microsoft.com/office/drawing/2014/main" id="{00000000-0008-0000-0B00-000009000000}"/>
            </a:ext>
          </a:extLst>
        </xdr:cNvPr>
        <xdr:cNvSpPr/>
      </xdr:nvSpPr>
      <xdr:spPr>
        <a:xfrm>
          <a:off x="3114675" y="4295775"/>
          <a:ext cx="792000" cy="252000"/>
        </a:xfrm>
        <a:prstGeom prst="roundRect">
          <a:avLst/>
        </a:prstGeom>
        <a:solidFill>
          <a:schemeClr val="accent2">
            <a:lumMod val="60000"/>
            <a:lumOff val="40000"/>
          </a:schemeClr>
        </a:solidFill>
        <a:ln>
          <a:solidFill>
            <a:schemeClr val="accent2">
              <a:lumMod val="60000"/>
              <a:lumOff val="40000"/>
            </a:schemeClr>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rtlCol="0" anchor="ctr"/>
        <a:lstStyle/>
        <a:p>
          <a:pPr algn="ctr"/>
          <a:r>
            <a:rPr lang="pt-BR" sz="1000" b="1">
              <a:solidFill>
                <a:schemeClr val="accent2">
                  <a:lumMod val="75000"/>
                </a:schemeClr>
              </a:solidFill>
              <a:latin typeface="Arial" pitchFamily="34" charset="0"/>
              <a:cs typeface="Arial" pitchFamily="34" charset="0"/>
            </a:rPr>
            <a:t>10 linhas</a:t>
          </a:r>
          <a:endParaRPr lang="pt-BR" sz="800">
            <a:solidFill>
              <a:schemeClr val="accent2">
                <a:lumMod val="75000"/>
              </a:schemeClr>
            </a:solidFill>
            <a:latin typeface="Arial" pitchFamily="34" charset="0"/>
            <a:cs typeface="Arial" pitchFamily="34" charset="0"/>
          </a:endParaRPr>
        </a:p>
      </xdr:txBody>
    </xdr:sp>
    <xdr:clientData fPrintsWithSheet="0"/>
  </xdr:twoCellAnchor>
  <xdr:twoCellAnchor editAs="oneCell">
    <xdr:from>
      <xdr:col>7</xdr:col>
      <xdr:colOff>19050</xdr:colOff>
      <xdr:row>0</xdr:row>
      <xdr:rowOff>66675</xdr:rowOff>
    </xdr:from>
    <xdr:to>
      <xdr:col>8</xdr:col>
      <xdr:colOff>165450</xdr:colOff>
      <xdr:row>0</xdr:row>
      <xdr:rowOff>354675</xdr:rowOff>
    </xdr:to>
    <xdr:sp macro="[0]!ir_de_operações_para_aparelhos" textlink="">
      <xdr:nvSpPr>
        <xdr:cNvPr id="10" name="Retângulo de cantos arredondados 9">
          <a:extLst>
            <a:ext uri="{FF2B5EF4-FFF2-40B4-BE49-F238E27FC236}">
              <a16:creationId xmlns:a16="http://schemas.microsoft.com/office/drawing/2014/main" id="{00000000-0008-0000-0B00-00000A000000}"/>
            </a:ext>
          </a:extLst>
        </xdr:cNvPr>
        <xdr:cNvSpPr/>
      </xdr:nvSpPr>
      <xdr:spPr bwMode="auto">
        <a:xfrm>
          <a:off x="7658100" y="66675"/>
          <a:ext cx="756000" cy="288000"/>
        </a:xfrm>
        <a:prstGeom prst="roundRect">
          <a:avLst/>
        </a:prstGeom>
        <a:solidFill>
          <a:schemeClr val="accent6">
            <a:lumMod val="60000"/>
            <a:lumOff val="40000"/>
          </a:schemeClr>
        </a:solidFill>
        <a:ln w="9525" cap="flat" cmpd="sng" algn="ctr">
          <a:solidFill>
            <a:schemeClr val="accent6">
              <a:lumMod val="60000"/>
              <a:lumOff val="4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chemeClr val="accent6">
                  <a:lumMod val="50000"/>
                </a:schemeClr>
              </a:solidFill>
            </a:rPr>
            <a:t>Aparelhos</a:t>
          </a:r>
        </a:p>
      </xdr:txBody>
    </xdr:sp>
    <xdr:clientData fPrintsWithSheet="0"/>
  </xdr:twoCellAnchor>
  <xdr:twoCellAnchor editAs="oneCell">
    <xdr:from>
      <xdr:col>5</xdr:col>
      <xdr:colOff>400050</xdr:colOff>
      <xdr:row>0</xdr:row>
      <xdr:rowOff>66675</xdr:rowOff>
    </xdr:from>
    <xdr:to>
      <xdr:col>6</xdr:col>
      <xdr:colOff>546450</xdr:colOff>
      <xdr:row>0</xdr:row>
      <xdr:rowOff>354675</xdr:rowOff>
    </xdr:to>
    <xdr:sp macro="[0]!ir_de_operações_para_maquinas" textlink="">
      <xdr:nvSpPr>
        <xdr:cNvPr id="11" name="Retângulo de cantos arredondados 10">
          <a:extLst>
            <a:ext uri="{FF2B5EF4-FFF2-40B4-BE49-F238E27FC236}">
              <a16:creationId xmlns:a16="http://schemas.microsoft.com/office/drawing/2014/main" id="{00000000-0008-0000-0B00-00000B000000}"/>
            </a:ext>
          </a:extLst>
        </xdr:cNvPr>
        <xdr:cNvSpPr/>
      </xdr:nvSpPr>
      <xdr:spPr bwMode="auto">
        <a:xfrm>
          <a:off x="6819900" y="66675"/>
          <a:ext cx="756000" cy="288000"/>
        </a:xfrm>
        <a:prstGeom prst="roundRect">
          <a:avLst/>
        </a:prstGeom>
        <a:solidFill>
          <a:schemeClr val="accent6">
            <a:lumMod val="40000"/>
            <a:lumOff val="60000"/>
          </a:schemeClr>
        </a:solidFill>
        <a:ln w="9525" cap="flat" cmpd="sng" algn="ctr">
          <a:solidFill>
            <a:schemeClr val="accent6">
              <a:lumMod val="40000"/>
              <a:lumOff val="6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chemeClr val="accent6">
                  <a:lumMod val="50000"/>
                </a:schemeClr>
              </a:solidFill>
            </a:rPr>
            <a:t>Máquinas</a:t>
          </a:r>
        </a:p>
      </xdr:txBody>
    </xdr:sp>
    <xdr:clientData fPrintsWithSheet="0"/>
  </xdr:twoCellAnchor>
</xdr:wsDr>
</file>

<file path=xl/drawings/drawing13.xml><?xml version="1.0" encoding="utf-8"?>
<xdr:wsDr xmlns:xdr="http://schemas.openxmlformats.org/drawingml/2006/spreadsheetDrawing" xmlns:a="http://schemas.openxmlformats.org/drawingml/2006/main">
  <xdr:twoCellAnchor editAs="oneCell">
    <xdr:from>
      <xdr:col>0</xdr:col>
      <xdr:colOff>85726</xdr:colOff>
      <xdr:row>11</xdr:row>
      <xdr:rowOff>57150</xdr:rowOff>
    </xdr:from>
    <xdr:to>
      <xdr:col>1</xdr:col>
      <xdr:colOff>1409701</xdr:colOff>
      <xdr:row>11</xdr:row>
      <xdr:rowOff>309150</xdr:rowOff>
    </xdr:to>
    <xdr:sp macro="[0]!inserir_linha_em_maquinas" textlink="">
      <xdr:nvSpPr>
        <xdr:cNvPr id="3" name="Retângulo de cantos arredondados 2">
          <a:extLst>
            <a:ext uri="{FF2B5EF4-FFF2-40B4-BE49-F238E27FC236}">
              <a16:creationId xmlns:a16="http://schemas.microsoft.com/office/drawing/2014/main" id="{00000000-0008-0000-0C00-000003000000}"/>
            </a:ext>
          </a:extLst>
        </xdr:cNvPr>
        <xdr:cNvSpPr/>
      </xdr:nvSpPr>
      <xdr:spPr>
        <a:xfrm>
          <a:off x="85726" y="3238500"/>
          <a:ext cx="2495550" cy="252000"/>
        </a:xfrm>
        <a:prstGeom prst="roundRect">
          <a:avLst/>
        </a:prstGeom>
        <a:solidFill>
          <a:schemeClr val="bg1">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rtlCol="0" anchor="ctr"/>
        <a:lstStyle/>
        <a:p>
          <a:pPr algn="ctr"/>
          <a:r>
            <a:rPr lang="pt-BR" sz="1000" b="1">
              <a:solidFill>
                <a:srgbClr val="0000FF"/>
              </a:solidFill>
              <a:latin typeface="Arial" pitchFamily="34" charset="0"/>
              <a:cs typeface="Arial" pitchFamily="34" charset="0"/>
            </a:rPr>
            <a:t>Inserir linha </a:t>
          </a:r>
          <a:r>
            <a:rPr lang="pt-BR" sz="800" b="1">
              <a:solidFill>
                <a:srgbClr val="0000FF"/>
              </a:solidFill>
              <a:latin typeface="Arial" pitchFamily="34" charset="0"/>
              <a:cs typeface="Arial" pitchFamily="34" charset="0"/>
            </a:rPr>
            <a:t>( </a:t>
          </a:r>
          <a:r>
            <a:rPr lang="pt-BR" sz="800">
              <a:solidFill>
                <a:srgbClr val="0000FF"/>
              </a:solidFill>
              <a:latin typeface="Arial" pitchFamily="34" charset="0"/>
              <a:cs typeface="Arial" pitchFamily="34" charset="0"/>
            </a:rPr>
            <a:t>clique o necessário )</a:t>
          </a:r>
        </a:p>
      </xdr:txBody>
    </xdr:sp>
    <xdr:clientData fPrintsWithSheet="0"/>
  </xdr:twoCellAnchor>
  <xdr:twoCellAnchor editAs="oneCell">
    <xdr:from>
      <xdr:col>0</xdr:col>
      <xdr:colOff>66675</xdr:colOff>
      <xdr:row>0</xdr:row>
      <xdr:rowOff>114300</xdr:rowOff>
    </xdr:from>
    <xdr:to>
      <xdr:col>0</xdr:col>
      <xdr:colOff>295275</xdr:colOff>
      <xdr:row>0</xdr:row>
      <xdr:rowOff>409575</xdr:rowOff>
    </xdr:to>
    <xdr:sp macro="[0]!ordem_tipo_maquina_em_maquinas" textlink="">
      <xdr:nvSpPr>
        <xdr:cNvPr id="4" name="Seta para cima 3">
          <a:extLst>
            <a:ext uri="{FF2B5EF4-FFF2-40B4-BE49-F238E27FC236}">
              <a16:creationId xmlns:a16="http://schemas.microsoft.com/office/drawing/2014/main" id="{00000000-0008-0000-0C00-000004000000}"/>
            </a:ext>
          </a:extLst>
        </xdr:cNvPr>
        <xdr:cNvSpPr/>
      </xdr:nvSpPr>
      <xdr:spPr>
        <a:xfrm>
          <a:off x="66675" y="114300"/>
          <a:ext cx="228600" cy="295275"/>
        </a:xfrm>
        <a:prstGeom prst="upArrow">
          <a:avLst/>
        </a:prstGeom>
        <a:solidFill>
          <a:srgbClr val="0000FF"/>
        </a:solidFill>
        <a:ln>
          <a:solidFill>
            <a:srgbClr val="0000FF"/>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pt-BR" sz="1100"/>
        </a:p>
      </xdr:txBody>
    </xdr:sp>
    <xdr:clientData fPrintsWithSheet="0"/>
  </xdr:twoCellAnchor>
  <xdr:twoCellAnchor editAs="oneCell">
    <xdr:from>
      <xdr:col>1</xdr:col>
      <xdr:colOff>76200</xdr:colOff>
      <xdr:row>0</xdr:row>
      <xdr:rowOff>114300</xdr:rowOff>
    </xdr:from>
    <xdr:to>
      <xdr:col>1</xdr:col>
      <xdr:colOff>304800</xdr:colOff>
      <xdr:row>0</xdr:row>
      <xdr:rowOff>409575</xdr:rowOff>
    </xdr:to>
    <xdr:sp macro="[0]!ordem_descrição_em_maquinas" textlink="">
      <xdr:nvSpPr>
        <xdr:cNvPr id="6" name="Seta para cima 5">
          <a:extLst>
            <a:ext uri="{FF2B5EF4-FFF2-40B4-BE49-F238E27FC236}">
              <a16:creationId xmlns:a16="http://schemas.microsoft.com/office/drawing/2014/main" id="{00000000-0008-0000-0C00-000006000000}"/>
            </a:ext>
          </a:extLst>
        </xdr:cNvPr>
        <xdr:cNvSpPr/>
      </xdr:nvSpPr>
      <xdr:spPr>
        <a:xfrm>
          <a:off x="1247775" y="114300"/>
          <a:ext cx="228600" cy="295275"/>
        </a:xfrm>
        <a:prstGeom prst="upArrow">
          <a:avLst/>
        </a:prstGeom>
        <a:solidFill>
          <a:srgbClr val="0000FF"/>
        </a:solidFill>
        <a:ln>
          <a:solidFill>
            <a:srgbClr val="0000FF"/>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pt-BR" sz="1100"/>
        </a:p>
      </xdr:txBody>
    </xdr:sp>
    <xdr:clientData fPrintsWithSheet="0"/>
  </xdr:twoCellAnchor>
  <xdr:twoCellAnchor editAs="oneCell">
    <xdr:from>
      <xdr:col>8</xdr:col>
      <xdr:colOff>133350</xdr:colOff>
      <xdr:row>0</xdr:row>
      <xdr:rowOff>66675</xdr:rowOff>
    </xdr:from>
    <xdr:to>
      <xdr:col>9</xdr:col>
      <xdr:colOff>279750</xdr:colOff>
      <xdr:row>0</xdr:row>
      <xdr:rowOff>354675</xdr:rowOff>
    </xdr:to>
    <xdr:sp macro="[0]!ir_de_maquinas_para_menu" textlink="">
      <xdr:nvSpPr>
        <xdr:cNvPr id="9" name="Retângulo de cantos arredondados 8">
          <a:extLst>
            <a:ext uri="{FF2B5EF4-FFF2-40B4-BE49-F238E27FC236}">
              <a16:creationId xmlns:a16="http://schemas.microsoft.com/office/drawing/2014/main" id="{00000000-0008-0000-0C00-000009000000}"/>
            </a:ext>
          </a:extLst>
        </xdr:cNvPr>
        <xdr:cNvSpPr/>
      </xdr:nvSpPr>
      <xdr:spPr bwMode="auto">
        <a:xfrm>
          <a:off x="9686925" y="66675"/>
          <a:ext cx="756000" cy="288000"/>
        </a:xfrm>
        <a:prstGeom prst="roundRect">
          <a:avLst/>
        </a:prstGeom>
        <a:solidFill>
          <a:srgbClr val="00B0F0"/>
        </a:solidFill>
        <a:ln w="9525" cap="flat" cmpd="sng" algn="ctr">
          <a:solidFill>
            <a:srgbClr val="00B0F0"/>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100" b="1">
              <a:solidFill>
                <a:srgbClr val="0000CC"/>
              </a:solidFill>
              <a:latin typeface="Arial" pitchFamily="34" charset="0"/>
              <a:cs typeface="Arial" pitchFamily="34" charset="0"/>
            </a:rPr>
            <a:t>Menu</a:t>
          </a:r>
          <a:endParaRPr lang="pt-BR" sz="1100" b="1">
            <a:solidFill>
              <a:srgbClr val="0000CC"/>
            </a:solidFill>
            <a:latin typeface="Arial" pitchFamily="34" charset="0"/>
            <a:ea typeface="+mn-ea"/>
            <a:cs typeface="Arial" pitchFamily="34" charset="0"/>
          </a:endParaRPr>
        </a:p>
      </xdr:txBody>
    </xdr:sp>
    <xdr:clientData fPrintsWithSheet="0"/>
  </xdr:twoCellAnchor>
  <xdr:twoCellAnchor editAs="oneCell">
    <xdr:from>
      <xdr:col>4</xdr:col>
      <xdr:colOff>85725</xdr:colOff>
      <xdr:row>0</xdr:row>
      <xdr:rowOff>66675</xdr:rowOff>
    </xdr:from>
    <xdr:to>
      <xdr:col>5</xdr:col>
      <xdr:colOff>232125</xdr:colOff>
      <xdr:row>0</xdr:row>
      <xdr:rowOff>354675</xdr:rowOff>
    </xdr:to>
    <xdr:sp macro="[0]!ir_de_maquinas_para_operações" textlink="">
      <xdr:nvSpPr>
        <xdr:cNvPr id="10" name="Retângulo de cantos arredondados 9">
          <a:extLst>
            <a:ext uri="{FF2B5EF4-FFF2-40B4-BE49-F238E27FC236}">
              <a16:creationId xmlns:a16="http://schemas.microsoft.com/office/drawing/2014/main" id="{00000000-0008-0000-0C00-00000A000000}"/>
            </a:ext>
          </a:extLst>
        </xdr:cNvPr>
        <xdr:cNvSpPr/>
      </xdr:nvSpPr>
      <xdr:spPr bwMode="auto">
        <a:xfrm>
          <a:off x="6257925" y="66675"/>
          <a:ext cx="756000" cy="288000"/>
        </a:xfrm>
        <a:prstGeom prst="roundRect">
          <a:avLst/>
        </a:prstGeom>
        <a:solidFill>
          <a:schemeClr val="accent3">
            <a:lumMod val="40000"/>
            <a:lumOff val="60000"/>
          </a:schemeClr>
        </a:solidFill>
        <a:ln w="9525" cap="flat" cmpd="sng" algn="ctr">
          <a:solidFill>
            <a:schemeClr val="accent3">
              <a:lumMod val="40000"/>
              <a:lumOff val="6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chemeClr val="accent3">
                  <a:lumMod val="75000"/>
                </a:schemeClr>
              </a:solidFill>
            </a:rPr>
            <a:t>Operações</a:t>
          </a:r>
        </a:p>
      </xdr:txBody>
    </xdr:sp>
    <xdr:clientData fPrintsWithSheet="0"/>
  </xdr:twoCellAnchor>
  <xdr:twoCellAnchor editAs="oneCell">
    <xdr:from>
      <xdr:col>6</xdr:col>
      <xdr:colOff>523875</xdr:colOff>
      <xdr:row>0</xdr:row>
      <xdr:rowOff>66675</xdr:rowOff>
    </xdr:from>
    <xdr:to>
      <xdr:col>8</xdr:col>
      <xdr:colOff>60675</xdr:colOff>
      <xdr:row>0</xdr:row>
      <xdr:rowOff>354675</xdr:rowOff>
    </xdr:to>
    <xdr:sp macro="[0]!limpar_filtro_em_maquinas" textlink="">
      <xdr:nvSpPr>
        <xdr:cNvPr id="11" name="Retângulo de cantos arredondados 10">
          <a:extLst>
            <a:ext uri="{FF2B5EF4-FFF2-40B4-BE49-F238E27FC236}">
              <a16:creationId xmlns:a16="http://schemas.microsoft.com/office/drawing/2014/main" id="{00000000-0008-0000-0C00-00000B000000}"/>
            </a:ext>
          </a:extLst>
        </xdr:cNvPr>
        <xdr:cNvSpPr/>
      </xdr:nvSpPr>
      <xdr:spPr bwMode="auto">
        <a:xfrm>
          <a:off x="8858250" y="66675"/>
          <a:ext cx="756000" cy="288000"/>
        </a:xfrm>
        <a:prstGeom prst="roundRect">
          <a:avLst/>
        </a:prstGeom>
        <a:solidFill>
          <a:schemeClr val="bg1"/>
        </a:solidFill>
        <a:ln w="9525" cap="flat" cmpd="sng" algn="ctr">
          <a:solidFill>
            <a:schemeClr val="bg1"/>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rgbClr val="FF0000"/>
              </a:solidFill>
            </a:rPr>
            <a:t>Limpar Filtro</a:t>
          </a:r>
        </a:p>
      </xdr:txBody>
    </xdr:sp>
    <xdr:clientData fPrintsWithSheet="0"/>
  </xdr:twoCellAnchor>
  <xdr:twoCellAnchor editAs="oneCell">
    <xdr:from>
      <xdr:col>5</xdr:col>
      <xdr:colOff>304800</xdr:colOff>
      <xdr:row>0</xdr:row>
      <xdr:rowOff>66675</xdr:rowOff>
    </xdr:from>
    <xdr:to>
      <xdr:col>6</xdr:col>
      <xdr:colOff>451200</xdr:colOff>
      <xdr:row>0</xdr:row>
      <xdr:rowOff>354675</xdr:rowOff>
    </xdr:to>
    <xdr:sp macro="[0]!ir_de_maquinas_para_seq_operacional" textlink="">
      <xdr:nvSpPr>
        <xdr:cNvPr id="12" name="Retângulo de cantos arredondados 11">
          <a:extLst>
            <a:ext uri="{FF2B5EF4-FFF2-40B4-BE49-F238E27FC236}">
              <a16:creationId xmlns:a16="http://schemas.microsoft.com/office/drawing/2014/main" id="{00000000-0008-0000-0C00-00000C000000}"/>
            </a:ext>
          </a:extLst>
        </xdr:cNvPr>
        <xdr:cNvSpPr/>
      </xdr:nvSpPr>
      <xdr:spPr bwMode="auto">
        <a:xfrm>
          <a:off x="8029575" y="66675"/>
          <a:ext cx="756000" cy="288000"/>
        </a:xfrm>
        <a:prstGeom prst="roundRect">
          <a:avLst/>
        </a:prstGeom>
        <a:solidFill>
          <a:schemeClr val="bg1">
            <a:lumMod val="75000"/>
          </a:schemeClr>
        </a:solidFill>
        <a:ln w="9525" cap="flat" cmpd="sng" algn="ctr">
          <a:solidFill>
            <a:schemeClr val="bg1">
              <a:lumMod val="75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chemeClr val="tx1">
                  <a:lumMod val="65000"/>
                  <a:lumOff val="35000"/>
                </a:schemeClr>
              </a:solidFill>
            </a:rPr>
            <a:t>Seq.  Op.</a:t>
          </a:r>
        </a:p>
      </xdr:txBody>
    </xdr:sp>
    <xdr:clientData fPrintsWithSheet="0"/>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3</xdr:row>
      <xdr:rowOff>57150</xdr:rowOff>
    </xdr:from>
    <xdr:to>
      <xdr:col>1</xdr:col>
      <xdr:colOff>1333500</xdr:colOff>
      <xdr:row>3</xdr:row>
      <xdr:rowOff>309150</xdr:rowOff>
    </xdr:to>
    <xdr:sp macro="[0]!inserir_linha_em_aparelhos" textlink="">
      <xdr:nvSpPr>
        <xdr:cNvPr id="3" name="Retângulo de cantos arredondados 2">
          <a:extLst>
            <a:ext uri="{FF2B5EF4-FFF2-40B4-BE49-F238E27FC236}">
              <a16:creationId xmlns:a16="http://schemas.microsoft.com/office/drawing/2014/main" id="{00000000-0008-0000-0D00-000003000000}"/>
            </a:ext>
          </a:extLst>
        </xdr:cNvPr>
        <xdr:cNvSpPr/>
      </xdr:nvSpPr>
      <xdr:spPr>
        <a:xfrm>
          <a:off x="85725" y="2095500"/>
          <a:ext cx="2505075" cy="252000"/>
        </a:xfrm>
        <a:prstGeom prst="roundRect">
          <a:avLst/>
        </a:prstGeom>
        <a:solidFill>
          <a:schemeClr val="bg1">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rtlCol="0" anchor="ctr"/>
        <a:lstStyle/>
        <a:p>
          <a:pPr algn="ctr"/>
          <a:r>
            <a:rPr lang="pt-BR" sz="1000" b="1">
              <a:solidFill>
                <a:srgbClr val="0000FF"/>
              </a:solidFill>
              <a:latin typeface="Arial" pitchFamily="34" charset="0"/>
              <a:cs typeface="Arial" pitchFamily="34" charset="0"/>
            </a:rPr>
            <a:t>Inserir linha </a:t>
          </a:r>
          <a:r>
            <a:rPr lang="pt-BR" sz="800" b="1">
              <a:solidFill>
                <a:srgbClr val="0000FF"/>
              </a:solidFill>
              <a:latin typeface="Arial" pitchFamily="34" charset="0"/>
              <a:cs typeface="Arial" pitchFamily="34" charset="0"/>
            </a:rPr>
            <a:t>( </a:t>
          </a:r>
          <a:r>
            <a:rPr lang="pt-BR" sz="800">
              <a:solidFill>
                <a:srgbClr val="0000FF"/>
              </a:solidFill>
              <a:latin typeface="Arial" pitchFamily="34" charset="0"/>
              <a:cs typeface="Arial" pitchFamily="34" charset="0"/>
            </a:rPr>
            <a:t>clique o necessário )</a:t>
          </a:r>
        </a:p>
      </xdr:txBody>
    </xdr:sp>
    <xdr:clientData fPrintsWithSheet="0"/>
  </xdr:twoCellAnchor>
  <xdr:twoCellAnchor editAs="oneCell">
    <xdr:from>
      <xdr:col>0</xdr:col>
      <xdr:colOff>66675</xdr:colOff>
      <xdr:row>0</xdr:row>
      <xdr:rowOff>123825</xdr:rowOff>
    </xdr:from>
    <xdr:to>
      <xdr:col>0</xdr:col>
      <xdr:colOff>295275</xdr:colOff>
      <xdr:row>0</xdr:row>
      <xdr:rowOff>419100</xdr:rowOff>
    </xdr:to>
    <xdr:sp macro="[0]!ordem_aparelhos_em_aparelhos" textlink="">
      <xdr:nvSpPr>
        <xdr:cNvPr id="4" name="Seta para cima 3">
          <a:extLst>
            <a:ext uri="{FF2B5EF4-FFF2-40B4-BE49-F238E27FC236}">
              <a16:creationId xmlns:a16="http://schemas.microsoft.com/office/drawing/2014/main" id="{00000000-0008-0000-0D00-000004000000}"/>
            </a:ext>
          </a:extLst>
        </xdr:cNvPr>
        <xdr:cNvSpPr/>
      </xdr:nvSpPr>
      <xdr:spPr>
        <a:xfrm>
          <a:off x="66675" y="123825"/>
          <a:ext cx="228600" cy="295275"/>
        </a:xfrm>
        <a:prstGeom prst="upArrow">
          <a:avLst/>
        </a:prstGeom>
        <a:solidFill>
          <a:srgbClr val="0000FF"/>
        </a:solidFill>
        <a:ln>
          <a:solidFill>
            <a:srgbClr val="0000FF"/>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pt-BR" sz="1100"/>
        </a:p>
      </xdr:txBody>
    </xdr:sp>
    <xdr:clientData fPrintsWithSheet="0"/>
  </xdr:twoCellAnchor>
  <xdr:twoCellAnchor editAs="oneCell">
    <xdr:from>
      <xdr:col>1</xdr:col>
      <xdr:colOff>152400</xdr:colOff>
      <xdr:row>0</xdr:row>
      <xdr:rowOff>123825</xdr:rowOff>
    </xdr:from>
    <xdr:to>
      <xdr:col>1</xdr:col>
      <xdr:colOff>381000</xdr:colOff>
      <xdr:row>0</xdr:row>
      <xdr:rowOff>419100</xdr:rowOff>
    </xdr:to>
    <xdr:sp macro="[0]!ordem_descrição_em_aparelhos" textlink="">
      <xdr:nvSpPr>
        <xdr:cNvPr id="6" name="Seta para cima 5">
          <a:extLst>
            <a:ext uri="{FF2B5EF4-FFF2-40B4-BE49-F238E27FC236}">
              <a16:creationId xmlns:a16="http://schemas.microsoft.com/office/drawing/2014/main" id="{00000000-0008-0000-0D00-000006000000}"/>
            </a:ext>
          </a:extLst>
        </xdr:cNvPr>
        <xdr:cNvSpPr/>
      </xdr:nvSpPr>
      <xdr:spPr>
        <a:xfrm>
          <a:off x="1409700" y="123825"/>
          <a:ext cx="228600" cy="295275"/>
        </a:xfrm>
        <a:prstGeom prst="upArrow">
          <a:avLst/>
        </a:prstGeom>
        <a:solidFill>
          <a:srgbClr val="0000FF"/>
        </a:solidFill>
        <a:ln>
          <a:solidFill>
            <a:srgbClr val="0000FF"/>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pt-BR" sz="1100"/>
        </a:p>
      </xdr:txBody>
    </xdr:sp>
    <xdr:clientData fPrintsWithSheet="0"/>
  </xdr:twoCellAnchor>
  <xdr:twoCellAnchor editAs="oneCell">
    <xdr:from>
      <xdr:col>3</xdr:col>
      <xdr:colOff>104775</xdr:colOff>
      <xdr:row>0</xdr:row>
      <xdr:rowOff>76200</xdr:rowOff>
    </xdr:from>
    <xdr:to>
      <xdr:col>4</xdr:col>
      <xdr:colOff>251175</xdr:colOff>
      <xdr:row>0</xdr:row>
      <xdr:rowOff>364200</xdr:rowOff>
    </xdr:to>
    <xdr:sp macro="[0]!ir_de_aparelhos_para_operações" textlink="">
      <xdr:nvSpPr>
        <xdr:cNvPr id="7" name="Retângulo de cantos arredondados 6">
          <a:extLst>
            <a:ext uri="{FF2B5EF4-FFF2-40B4-BE49-F238E27FC236}">
              <a16:creationId xmlns:a16="http://schemas.microsoft.com/office/drawing/2014/main" id="{00000000-0008-0000-0D00-000007000000}"/>
            </a:ext>
          </a:extLst>
        </xdr:cNvPr>
        <xdr:cNvSpPr/>
      </xdr:nvSpPr>
      <xdr:spPr bwMode="auto">
        <a:xfrm>
          <a:off x="4038600" y="76200"/>
          <a:ext cx="756000" cy="288000"/>
        </a:xfrm>
        <a:prstGeom prst="roundRect">
          <a:avLst/>
        </a:prstGeom>
        <a:solidFill>
          <a:schemeClr val="accent3">
            <a:lumMod val="40000"/>
            <a:lumOff val="60000"/>
          </a:schemeClr>
        </a:solidFill>
        <a:ln w="9525" cap="flat" cmpd="sng" algn="ctr">
          <a:solidFill>
            <a:schemeClr val="accent3">
              <a:lumMod val="40000"/>
              <a:lumOff val="60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chemeClr val="accent3">
                  <a:lumMod val="75000"/>
                </a:schemeClr>
              </a:solidFill>
            </a:rPr>
            <a:t>Operações</a:t>
          </a:r>
        </a:p>
      </xdr:txBody>
    </xdr:sp>
    <xdr:clientData fPrintsWithSheet="0"/>
  </xdr:twoCellAnchor>
  <xdr:twoCellAnchor editAs="oneCell">
    <xdr:from>
      <xdr:col>7</xdr:col>
      <xdr:colOff>238125</xdr:colOff>
      <xdr:row>0</xdr:row>
      <xdr:rowOff>76200</xdr:rowOff>
    </xdr:from>
    <xdr:to>
      <xdr:col>8</xdr:col>
      <xdr:colOff>384525</xdr:colOff>
      <xdr:row>0</xdr:row>
      <xdr:rowOff>364200</xdr:rowOff>
    </xdr:to>
    <xdr:sp macro="[0]!ir_de_aparelhos_para_menu" textlink="">
      <xdr:nvSpPr>
        <xdr:cNvPr id="8" name="Retângulo de cantos arredondados 7">
          <a:extLst>
            <a:ext uri="{FF2B5EF4-FFF2-40B4-BE49-F238E27FC236}">
              <a16:creationId xmlns:a16="http://schemas.microsoft.com/office/drawing/2014/main" id="{00000000-0008-0000-0D00-000008000000}"/>
            </a:ext>
          </a:extLst>
        </xdr:cNvPr>
        <xdr:cNvSpPr/>
      </xdr:nvSpPr>
      <xdr:spPr bwMode="auto">
        <a:xfrm>
          <a:off x="8096250" y="76200"/>
          <a:ext cx="756000" cy="288000"/>
        </a:xfrm>
        <a:prstGeom prst="roundRect">
          <a:avLst/>
        </a:prstGeom>
        <a:solidFill>
          <a:srgbClr val="00B0F0"/>
        </a:solidFill>
        <a:ln w="9525" cap="flat" cmpd="sng" algn="ctr">
          <a:solidFill>
            <a:srgbClr val="00B0F0"/>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100" b="1">
              <a:solidFill>
                <a:srgbClr val="0000CC"/>
              </a:solidFill>
              <a:latin typeface="Arial" pitchFamily="34" charset="0"/>
              <a:cs typeface="Arial" pitchFamily="34" charset="0"/>
            </a:rPr>
            <a:t>Menu</a:t>
          </a:r>
          <a:endParaRPr lang="pt-BR" sz="1100" b="1">
            <a:solidFill>
              <a:srgbClr val="0000CC"/>
            </a:solidFill>
            <a:latin typeface="Arial" pitchFamily="34" charset="0"/>
            <a:ea typeface="+mn-ea"/>
            <a:cs typeface="Arial" pitchFamily="34" charset="0"/>
          </a:endParaRPr>
        </a:p>
      </xdr:txBody>
    </xdr:sp>
    <xdr:clientData fPrintsWithSheet="0"/>
  </xdr:twoCellAnchor>
  <xdr:twoCellAnchor editAs="oneCell">
    <xdr:from>
      <xdr:col>5</xdr:col>
      <xdr:colOff>600075</xdr:colOff>
      <xdr:row>0</xdr:row>
      <xdr:rowOff>76200</xdr:rowOff>
    </xdr:from>
    <xdr:to>
      <xdr:col>7</xdr:col>
      <xdr:colOff>136875</xdr:colOff>
      <xdr:row>0</xdr:row>
      <xdr:rowOff>364200</xdr:rowOff>
    </xdr:to>
    <xdr:sp macro="[0]!limpar_filtro_em_aparelhos" textlink="">
      <xdr:nvSpPr>
        <xdr:cNvPr id="9" name="Retângulo de cantos arredondados 8">
          <a:extLst>
            <a:ext uri="{FF2B5EF4-FFF2-40B4-BE49-F238E27FC236}">
              <a16:creationId xmlns:a16="http://schemas.microsoft.com/office/drawing/2014/main" id="{00000000-0008-0000-0D00-000009000000}"/>
            </a:ext>
          </a:extLst>
        </xdr:cNvPr>
        <xdr:cNvSpPr/>
      </xdr:nvSpPr>
      <xdr:spPr bwMode="auto">
        <a:xfrm>
          <a:off x="7239000" y="76200"/>
          <a:ext cx="756000" cy="288000"/>
        </a:xfrm>
        <a:prstGeom prst="roundRect">
          <a:avLst/>
        </a:prstGeom>
        <a:solidFill>
          <a:schemeClr val="bg1"/>
        </a:solidFill>
        <a:ln w="9525" cap="flat" cmpd="sng" algn="ctr">
          <a:solidFill>
            <a:schemeClr val="bg1"/>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rgbClr val="FF0000"/>
              </a:solidFill>
            </a:rPr>
            <a:t>Limpar Filtro</a:t>
          </a:r>
        </a:p>
      </xdr:txBody>
    </xdr:sp>
    <xdr:clientData fPrintsWithSheet="0"/>
  </xdr:twoCellAnchor>
  <xdr:twoCellAnchor editAs="oneCell">
    <xdr:from>
      <xdr:col>4</xdr:col>
      <xdr:colOff>352425</xdr:colOff>
      <xdr:row>0</xdr:row>
      <xdr:rowOff>76200</xdr:rowOff>
    </xdr:from>
    <xdr:to>
      <xdr:col>5</xdr:col>
      <xdr:colOff>498825</xdr:colOff>
      <xdr:row>0</xdr:row>
      <xdr:rowOff>364200</xdr:rowOff>
    </xdr:to>
    <xdr:sp macro="[0]!ir_de_aparelhos_para_seq_operacional" textlink="">
      <xdr:nvSpPr>
        <xdr:cNvPr id="10" name="Retângulo de cantos arredondados 9">
          <a:extLst>
            <a:ext uri="{FF2B5EF4-FFF2-40B4-BE49-F238E27FC236}">
              <a16:creationId xmlns:a16="http://schemas.microsoft.com/office/drawing/2014/main" id="{00000000-0008-0000-0D00-00000A000000}"/>
            </a:ext>
          </a:extLst>
        </xdr:cNvPr>
        <xdr:cNvSpPr/>
      </xdr:nvSpPr>
      <xdr:spPr bwMode="auto">
        <a:xfrm>
          <a:off x="4895850" y="76200"/>
          <a:ext cx="756000" cy="288000"/>
        </a:xfrm>
        <a:prstGeom prst="roundRect">
          <a:avLst/>
        </a:prstGeom>
        <a:solidFill>
          <a:schemeClr val="bg1">
            <a:lumMod val="75000"/>
          </a:schemeClr>
        </a:solidFill>
        <a:ln w="9525" cap="flat" cmpd="sng" algn="ctr">
          <a:solidFill>
            <a:schemeClr val="bg1">
              <a:lumMod val="75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000" b="1">
              <a:solidFill>
                <a:schemeClr val="tx1">
                  <a:lumMod val="65000"/>
                  <a:lumOff val="35000"/>
                </a:schemeClr>
              </a:solidFill>
            </a:rPr>
            <a:t>Seq.  Op.</a:t>
          </a:r>
        </a:p>
      </xdr:txBody>
    </xdr:sp>
    <xdr:clientData fPrintsWithSheet="0"/>
  </xdr:twoCellAnchor>
</xdr:wsDr>
</file>

<file path=xl/drawings/drawing15.xml><?xml version="1.0" encoding="utf-8"?>
<xdr:wsDr xmlns:xdr="http://schemas.openxmlformats.org/drawingml/2006/spreadsheetDrawing" xmlns:a="http://schemas.openxmlformats.org/drawingml/2006/main">
  <xdr:twoCellAnchor editAs="oneCell">
    <xdr:from>
      <xdr:col>0</xdr:col>
      <xdr:colOff>85726</xdr:colOff>
      <xdr:row>4</xdr:row>
      <xdr:rowOff>66675</xdr:rowOff>
    </xdr:from>
    <xdr:to>
      <xdr:col>1</xdr:col>
      <xdr:colOff>1238250</xdr:colOff>
      <xdr:row>4</xdr:row>
      <xdr:rowOff>318675</xdr:rowOff>
    </xdr:to>
    <xdr:sp macro="[0]!inserir_linha_em_ref" textlink="">
      <xdr:nvSpPr>
        <xdr:cNvPr id="3" name="Retângulo de cantos arredondados 2">
          <a:extLst>
            <a:ext uri="{FF2B5EF4-FFF2-40B4-BE49-F238E27FC236}">
              <a16:creationId xmlns:a16="http://schemas.microsoft.com/office/drawing/2014/main" id="{00000000-0008-0000-0E00-000003000000}"/>
            </a:ext>
          </a:extLst>
        </xdr:cNvPr>
        <xdr:cNvSpPr/>
      </xdr:nvSpPr>
      <xdr:spPr>
        <a:xfrm>
          <a:off x="85726" y="2562225"/>
          <a:ext cx="2305049" cy="252000"/>
        </a:xfrm>
        <a:prstGeom prst="roundRect">
          <a:avLst/>
        </a:prstGeom>
        <a:solidFill>
          <a:schemeClr val="bg1">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rtlCol="0" anchor="ctr"/>
        <a:lstStyle/>
        <a:p>
          <a:pPr algn="ctr"/>
          <a:r>
            <a:rPr lang="pt-BR" sz="1000" b="1">
              <a:solidFill>
                <a:srgbClr val="0000FF"/>
              </a:solidFill>
              <a:latin typeface="Arial" pitchFamily="34" charset="0"/>
              <a:cs typeface="Arial" pitchFamily="34" charset="0"/>
            </a:rPr>
            <a:t>Inserir linha </a:t>
          </a:r>
          <a:r>
            <a:rPr lang="pt-BR" sz="800" b="1">
              <a:solidFill>
                <a:srgbClr val="0000FF"/>
              </a:solidFill>
              <a:latin typeface="Arial" pitchFamily="34" charset="0"/>
              <a:cs typeface="Arial" pitchFamily="34" charset="0"/>
            </a:rPr>
            <a:t>( </a:t>
          </a:r>
          <a:r>
            <a:rPr lang="pt-BR" sz="800">
              <a:solidFill>
                <a:srgbClr val="0000FF"/>
              </a:solidFill>
              <a:latin typeface="Arial" pitchFamily="34" charset="0"/>
              <a:cs typeface="Arial" pitchFamily="34" charset="0"/>
            </a:rPr>
            <a:t>clique o necessário )</a:t>
          </a:r>
        </a:p>
      </xdr:txBody>
    </xdr:sp>
    <xdr:clientData fPrintsWithSheet="0"/>
  </xdr:twoCellAnchor>
  <xdr:twoCellAnchor editAs="oneCell">
    <xdr:from>
      <xdr:col>0</xdr:col>
      <xdr:colOff>76200</xdr:colOff>
      <xdr:row>0</xdr:row>
      <xdr:rowOff>76200</xdr:rowOff>
    </xdr:from>
    <xdr:to>
      <xdr:col>0</xdr:col>
      <xdr:colOff>342900</xdr:colOff>
      <xdr:row>0</xdr:row>
      <xdr:rowOff>371475</xdr:rowOff>
    </xdr:to>
    <xdr:sp macro="[0]!ordem_de_ref_em_ref" textlink="">
      <xdr:nvSpPr>
        <xdr:cNvPr id="4" name="Seta para cima 3">
          <a:extLst>
            <a:ext uri="{FF2B5EF4-FFF2-40B4-BE49-F238E27FC236}">
              <a16:creationId xmlns:a16="http://schemas.microsoft.com/office/drawing/2014/main" id="{00000000-0008-0000-0E00-000004000000}"/>
            </a:ext>
          </a:extLst>
        </xdr:cNvPr>
        <xdr:cNvSpPr/>
      </xdr:nvSpPr>
      <xdr:spPr>
        <a:xfrm>
          <a:off x="76200" y="76200"/>
          <a:ext cx="266700" cy="295275"/>
        </a:xfrm>
        <a:prstGeom prst="upArrow">
          <a:avLst/>
        </a:prstGeom>
        <a:solidFill>
          <a:srgbClr val="0000FF"/>
        </a:solidFill>
        <a:ln>
          <a:solidFill>
            <a:srgbClr val="0000FF"/>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pt-BR" sz="1100"/>
        </a:p>
      </xdr:txBody>
    </xdr:sp>
    <xdr:clientData fPrintsWithSheet="0"/>
  </xdr:twoCellAnchor>
  <xdr:twoCellAnchor editAs="oneCell">
    <xdr:from>
      <xdr:col>2</xdr:col>
      <xdr:colOff>133350</xdr:colOff>
      <xdr:row>0</xdr:row>
      <xdr:rowOff>66675</xdr:rowOff>
    </xdr:from>
    <xdr:to>
      <xdr:col>3</xdr:col>
      <xdr:colOff>279750</xdr:colOff>
      <xdr:row>0</xdr:row>
      <xdr:rowOff>354675</xdr:rowOff>
    </xdr:to>
    <xdr:sp macro="[0]!ir_de_ref_para_seq_operacional" textlink="">
      <xdr:nvSpPr>
        <xdr:cNvPr id="6" name="Retângulo de cantos arredondados 5">
          <a:extLst>
            <a:ext uri="{FF2B5EF4-FFF2-40B4-BE49-F238E27FC236}">
              <a16:creationId xmlns:a16="http://schemas.microsoft.com/office/drawing/2014/main" id="{00000000-0008-0000-0E00-000006000000}"/>
            </a:ext>
          </a:extLst>
        </xdr:cNvPr>
        <xdr:cNvSpPr/>
      </xdr:nvSpPr>
      <xdr:spPr bwMode="auto">
        <a:xfrm>
          <a:off x="4286250" y="66675"/>
          <a:ext cx="756000" cy="288000"/>
        </a:xfrm>
        <a:prstGeom prst="roundRect">
          <a:avLst/>
        </a:prstGeom>
        <a:solidFill>
          <a:schemeClr val="bg1">
            <a:lumMod val="75000"/>
          </a:schemeClr>
        </a:solidFill>
        <a:ln w="9525" cap="flat" cmpd="sng" algn="ctr">
          <a:solidFill>
            <a:schemeClr val="bg1">
              <a:lumMod val="75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100" b="1">
              <a:solidFill>
                <a:schemeClr val="tx1">
                  <a:lumMod val="65000"/>
                  <a:lumOff val="35000"/>
                </a:schemeClr>
              </a:solidFill>
            </a:rPr>
            <a:t>Seq.  Op.</a:t>
          </a:r>
        </a:p>
      </xdr:txBody>
    </xdr:sp>
    <xdr:clientData fPrintsWithSheet="0"/>
  </xdr:twoCellAnchor>
  <xdr:twoCellAnchor editAs="oneCell">
    <xdr:from>
      <xdr:col>3</xdr:col>
      <xdr:colOff>390525</xdr:colOff>
      <xdr:row>0</xdr:row>
      <xdr:rowOff>66675</xdr:rowOff>
    </xdr:from>
    <xdr:to>
      <xdr:col>4</xdr:col>
      <xdr:colOff>536925</xdr:colOff>
      <xdr:row>0</xdr:row>
      <xdr:rowOff>354675</xdr:rowOff>
    </xdr:to>
    <xdr:sp macro="[0]!ir_de_ref_para_menu" textlink="">
      <xdr:nvSpPr>
        <xdr:cNvPr id="7" name="Retângulo de cantos arredondados 6">
          <a:extLst>
            <a:ext uri="{FF2B5EF4-FFF2-40B4-BE49-F238E27FC236}">
              <a16:creationId xmlns:a16="http://schemas.microsoft.com/office/drawing/2014/main" id="{00000000-0008-0000-0E00-000007000000}"/>
            </a:ext>
          </a:extLst>
        </xdr:cNvPr>
        <xdr:cNvSpPr/>
      </xdr:nvSpPr>
      <xdr:spPr bwMode="auto">
        <a:xfrm>
          <a:off x="5153025" y="66675"/>
          <a:ext cx="756000" cy="288000"/>
        </a:xfrm>
        <a:prstGeom prst="roundRect">
          <a:avLst/>
        </a:prstGeom>
        <a:solidFill>
          <a:srgbClr val="00B0F0"/>
        </a:solidFill>
        <a:ln w="9525" cap="flat" cmpd="sng" algn="ctr">
          <a:solidFill>
            <a:srgbClr val="00B0F0"/>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100" b="1">
              <a:solidFill>
                <a:srgbClr val="0000CC"/>
              </a:solidFill>
              <a:latin typeface="Arial" pitchFamily="34" charset="0"/>
              <a:cs typeface="Arial" pitchFamily="34" charset="0"/>
            </a:rPr>
            <a:t>Menu</a:t>
          </a:r>
          <a:endParaRPr lang="pt-BR" sz="1100" b="1">
            <a:solidFill>
              <a:srgbClr val="0000CC"/>
            </a:solidFill>
            <a:latin typeface="Arial" pitchFamily="34" charset="0"/>
            <a:ea typeface="+mn-ea"/>
            <a:cs typeface="Arial" pitchFamily="34" charset="0"/>
          </a:endParaRPr>
        </a:p>
      </xdr:txBody>
    </xdr:sp>
    <xdr:clientData fPrintsWithSheet="0"/>
  </xdr:twoCellAnchor>
  <xdr:twoCellAnchor editAs="oneCell">
    <xdr:from>
      <xdr:col>1</xdr:col>
      <xdr:colOff>142875</xdr:colOff>
      <xdr:row>0</xdr:row>
      <xdr:rowOff>76200</xdr:rowOff>
    </xdr:from>
    <xdr:to>
      <xdr:col>1</xdr:col>
      <xdr:colOff>409575</xdr:colOff>
      <xdr:row>0</xdr:row>
      <xdr:rowOff>371475</xdr:rowOff>
    </xdr:to>
    <xdr:sp macro="[0]!ordem_de_descrição_em_ref" textlink="">
      <xdr:nvSpPr>
        <xdr:cNvPr id="8" name="Seta para cima 7">
          <a:extLst>
            <a:ext uri="{FF2B5EF4-FFF2-40B4-BE49-F238E27FC236}">
              <a16:creationId xmlns:a16="http://schemas.microsoft.com/office/drawing/2014/main" id="{00000000-0008-0000-0E00-000008000000}"/>
            </a:ext>
          </a:extLst>
        </xdr:cNvPr>
        <xdr:cNvSpPr/>
      </xdr:nvSpPr>
      <xdr:spPr>
        <a:xfrm>
          <a:off x="1295400" y="76200"/>
          <a:ext cx="266700" cy="295275"/>
        </a:xfrm>
        <a:prstGeom prst="upArrow">
          <a:avLst/>
        </a:prstGeom>
        <a:solidFill>
          <a:srgbClr val="0000FF"/>
        </a:solidFill>
        <a:ln>
          <a:solidFill>
            <a:srgbClr val="0000FF"/>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pt-BR" sz="1100"/>
        </a:p>
      </xdr:txBody>
    </xdr:sp>
    <xdr:clientData fPrintsWithSheet="0"/>
  </xdr:twoCellAnchor>
  <xdr:twoCellAnchor editAs="oneCell">
    <xdr:from>
      <xdr:col>1</xdr:col>
      <xdr:colOff>2105027</xdr:colOff>
      <xdr:row>4</xdr:row>
      <xdr:rowOff>66675</xdr:rowOff>
    </xdr:from>
    <xdr:to>
      <xdr:col>1</xdr:col>
      <xdr:colOff>2897027</xdr:colOff>
      <xdr:row>4</xdr:row>
      <xdr:rowOff>318675</xdr:rowOff>
    </xdr:to>
    <xdr:sp macro="[0]!inserir_10_linhas_em_ref" textlink="">
      <xdr:nvSpPr>
        <xdr:cNvPr id="9" name="Retângulo de cantos arredondados 8">
          <a:extLst>
            <a:ext uri="{FF2B5EF4-FFF2-40B4-BE49-F238E27FC236}">
              <a16:creationId xmlns:a16="http://schemas.microsoft.com/office/drawing/2014/main" id="{00000000-0008-0000-0E00-000009000000}"/>
            </a:ext>
          </a:extLst>
        </xdr:cNvPr>
        <xdr:cNvSpPr/>
      </xdr:nvSpPr>
      <xdr:spPr>
        <a:xfrm>
          <a:off x="3257552" y="2562225"/>
          <a:ext cx="792000" cy="252000"/>
        </a:xfrm>
        <a:prstGeom prst="roundRect">
          <a:avLst/>
        </a:prstGeom>
        <a:solidFill>
          <a:schemeClr val="accent2">
            <a:lumMod val="60000"/>
            <a:lumOff val="40000"/>
          </a:schemeClr>
        </a:solidFill>
        <a:ln>
          <a:solidFill>
            <a:schemeClr val="accent2">
              <a:lumMod val="60000"/>
              <a:lumOff val="40000"/>
            </a:schemeClr>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rtlCol="0" anchor="ctr"/>
        <a:lstStyle/>
        <a:p>
          <a:pPr algn="ctr"/>
          <a:r>
            <a:rPr lang="pt-BR" sz="1000" b="1">
              <a:solidFill>
                <a:schemeClr val="accent2">
                  <a:lumMod val="75000"/>
                </a:schemeClr>
              </a:solidFill>
              <a:latin typeface="Arial" pitchFamily="34" charset="0"/>
              <a:cs typeface="Arial" pitchFamily="34" charset="0"/>
            </a:rPr>
            <a:t>10 linhas</a:t>
          </a:r>
          <a:endParaRPr lang="pt-BR" sz="800">
            <a:solidFill>
              <a:schemeClr val="accent2">
                <a:lumMod val="75000"/>
              </a:schemeClr>
            </a:solidFill>
            <a:latin typeface="Arial" pitchFamily="34" charset="0"/>
            <a:cs typeface="Arial" pitchFamily="34" charset="0"/>
          </a:endParaRPr>
        </a:p>
      </xdr:txBody>
    </xdr:sp>
    <xdr:clientData fPrintsWithSheet="0"/>
  </xdr:twoCellAnchor>
</xdr:wsDr>
</file>

<file path=xl/drawings/drawing16.xml><?xml version="1.0" encoding="utf-8"?>
<xdr:wsDr xmlns:xdr="http://schemas.openxmlformats.org/drawingml/2006/spreadsheetDrawing" xmlns:a="http://schemas.openxmlformats.org/drawingml/2006/main">
  <xdr:twoCellAnchor editAs="oneCell">
    <xdr:from>
      <xdr:col>0</xdr:col>
      <xdr:colOff>76201</xdr:colOff>
      <xdr:row>9</xdr:row>
      <xdr:rowOff>57150</xdr:rowOff>
    </xdr:from>
    <xdr:to>
      <xdr:col>0</xdr:col>
      <xdr:colOff>1847850</xdr:colOff>
      <xdr:row>9</xdr:row>
      <xdr:rowOff>309150</xdr:rowOff>
    </xdr:to>
    <xdr:sp macro="[0]!inserir_linha_em_cores" textlink="">
      <xdr:nvSpPr>
        <xdr:cNvPr id="3" name="Retângulo de cantos arredondados 2">
          <a:extLst>
            <a:ext uri="{FF2B5EF4-FFF2-40B4-BE49-F238E27FC236}">
              <a16:creationId xmlns:a16="http://schemas.microsoft.com/office/drawing/2014/main" id="{00000000-0008-0000-0F00-000003000000}"/>
            </a:ext>
          </a:extLst>
        </xdr:cNvPr>
        <xdr:cNvSpPr/>
      </xdr:nvSpPr>
      <xdr:spPr>
        <a:xfrm>
          <a:off x="76201" y="2324100"/>
          <a:ext cx="1771649" cy="252000"/>
        </a:xfrm>
        <a:prstGeom prst="roundRect">
          <a:avLst/>
        </a:prstGeom>
        <a:solidFill>
          <a:schemeClr val="bg1">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rtlCol="0" anchor="ctr"/>
        <a:lstStyle/>
        <a:p>
          <a:pPr algn="ctr"/>
          <a:r>
            <a:rPr lang="pt-BR" sz="1000" b="1">
              <a:solidFill>
                <a:srgbClr val="0000FF"/>
              </a:solidFill>
              <a:latin typeface="Arial" pitchFamily="34" charset="0"/>
              <a:cs typeface="Arial" pitchFamily="34" charset="0"/>
            </a:rPr>
            <a:t>Inserir linha</a:t>
          </a:r>
          <a:endParaRPr lang="pt-BR" sz="800">
            <a:solidFill>
              <a:srgbClr val="0000FF"/>
            </a:solidFill>
            <a:latin typeface="Arial" pitchFamily="34" charset="0"/>
            <a:cs typeface="Arial" pitchFamily="34" charset="0"/>
          </a:endParaRPr>
        </a:p>
      </xdr:txBody>
    </xdr:sp>
    <xdr:clientData fPrintsWithSheet="0"/>
  </xdr:twoCellAnchor>
  <xdr:twoCellAnchor editAs="oneCell">
    <xdr:from>
      <xdr:col>0</xdr:col>
      <xdr:colOff>76200</xdr:colOff>
      <xdr:row>0</xdr:row>
      <xdr:rowOff>76200</xdr:rowOff>
    </xdr:from>
    <xdr:to>
      <xdr:col>0</xdr:col>
      <xdr:colOff>342900</xdr:colOff>
      <xdr:row>0</xdr:row>
      <xdr:rowOff>371475</xdr:rowOff>
    </xdr:to>
    <xdr:sp macro="[0]!ordem_em_cores" textlink="">
      <xdr:nvSpPr>
        <xdr:cNvPr id="4" name="Seta para cima 3">
          <a:extLst>
            <a:ext uri="{FF2B5EF4-FFF2-40B4-BE49-F238E27FC236}">
              <a16:creationId xmlns:a16="http://schemas.microsoft.com/office/drawing/2014/main" id="{00000000-0008-0000-0F00-000004000000}"/>
            </a:ext>
          </a:extLst>
        </xdr:cNvPr>
        <xdr:cNvSpPr/>
      </xdr:nvSpPr>
      <xdr:spPr>
        <a:xfrm>
          <a:off x="76200" y="76200"/>
          <a:ext cx="266700" cy="295275"/>
        </a:xfrm>
        <a:prstGeom prst="upArrow">
          <a:avLst/>
        </a:prstGeom>
        <a:solidFill>
          <a:srgbClr val="0000FF"/>
        </a:solidFill>
        <a:ln>
          <a:solidFill>
            <a:srgbClr val="0000FF"/>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pt-BR" sz="1100"/>
        </a:p>
      </xdr:txBody>
    </xdr:sp>
    <xdr:clientData fPrintsWithSheet="0"/>
  </xdr:twoCellAnchor>
  <xdr:twoCellAnchor editAs="oneCell">
    <xdr:from>
      <xdr:col>1</xdr:col>
      <xdr:colOff>133350</xdr:colOff>
      <xdr:row>0</xdr:row>
      <xdr:rowOff>66675</xdr:rowOff>
    </xdr:from>
    <xdr:to>
      <xdr:col>2</xdr:col>
      <xdr:colOff>279750</xdr:colOff>
      <xdr:row>0</xdr:row>
      <xdr:rowOff>354675</xdr:rowOff>
    </xdr:to>
    <xdr:sp macro="[0]!ir_de_cores_para_OP" textlink="">
      <xdr:nvSpPr>
        <xdr:cNvPr id="6" name="Retângulo de cantos arredondados 5">
          <a:extLst>
            <a:ext uri="{FF2B5EF4-FFF2-40B4-BE49-F238E27FC236}">
              <a16:creationId xmlns:a16="http://schemas.microsoft.com/office/drawing/2014/main" id="{00000000-0008-0000-0F00-000006000000}"/>
            </a:ext>
          </a:extLst>
        </xdr:cNvPr>
        <xdr:cNvSpPr/>
      </xdr:nvSpPr>
      <xdr:spPr bwMode="auto">
        <a:xfrm>
          <a:off x="2209800" y="66675"/>
          <a:ext cx="756000" cy="288000"/>
        </a:xfrm>
        <a:prstGeom prst="roundRect">
          <a:avLst/>
        </a:prstGeom>
        <a:solidFill>
          <a:schemeClr val="bg1">
            <a:lumMod val="85000"/>
          </a:schemeClr>
        </a:solidFill>
        <a:ln w="9525" cap="flat" cmpd="sng" algn="ctr">
          <a:solidFill>
            <a:schemeClr val="bg1">
              <a:lumMod val="85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100" b="1">
              <a:solidFill>
                <a:schemeClr val="tx1">
                  <a:lumMod val="50000"/>
                  <a:lumOff val="50000"/>
                </a:schemeClr>
              </a:solidFill>
            </a:rPr>
            <a:t>Voltar</a:t>
          </a:r>
        </a:p>
      </xdr:txBody>
    </xdr:sp>
    <xdr:clientData fPrintsWithSheet="0"/>
  </xdr:twoCellAnchor>
  <xdr:twoCellAnchor editAs="oneCell">
    <xdr:from>
      <xdr:col>2</xdr:col>
      <xdr:colOff>390525</xdr:colOff>
      <xdr:row>0</xdr:row>
      <xdr:rowOff>66675</xdr:rowOff>
    </xdr:from>
    <xdr:to>
      <xdr:col>3</xdr:col>
      <xdr:colOff>536925</xdr:colOff>
      <xdr:row>0</xdr:row>
      <xdr:rowOff>354675</xdr:rowOff>
    </xdr:to>
    <xdr:sp macro="[0]!ir_de_cores_para_menu" textlink="">
      <xdr:nvSpPr>
        <xdr:cNvPr id="7" name="Retângulo de cantos arredondados 6">
          <a:extLst>
            <a:ext uri="{FF2B5EF4-FFF2-40B4-BE49-F238E27FC236}">
              <a16:creationId xmlns:a16="http://schemas.microsoft.com/office/drawing/2014/main" id="{00000000-0008-0000-0F00-000007000000}"/>
            </a:ext>
          </a:extLst>
        </xdr:cNvPr>
        <xdr:cNvSpPr/>
      </xdr:nvSpPr>
      <xdr:spPr bwMode="auto">
        <a:xfrm>
          <a:off x="3076575" y="66675"/>
          <a:ext cx="756000" cy="288000"/>
        </a:xfrm>
        <a:prstGeom prst="roundRect">
          <a:avLst/>
        </a:prstGeom>
        <a:solidFill>
          <a:srgbClr val="00B0F0"/>
        </a:solidFill>
        <a:ln w="9525" cap="flat" cmpd="sng" algn="ctr">
          <a:solidFill>
            <a:srgbClr val="00B0F0"/>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100" b="1">
              <a:solidFill>
                <a:srgbClr val="0000CC"/>
              </a:solidFill>
              <a:latin typeface="Arial" pitchFamily="34" charset="0"/>
              <a:cs typeface="Arial" pitchFamily="34" charset="0"/>
            </a:rPr>
            <a:t>Menu</a:t>
          </a:r>
          <a:endParaRPr lang="pt-BR" sz="1100" b="1">
            <a:solidFill>
              <a:srgbClr val="0000CC"/>
            </a:solidFill>
            <a:latin typeface="Arial" pitchFamily="34" charset="0"/>
            <a:ea typeface="+mn-ea"/>
            <a:cs typeface="Arial" pitchFamily="34" charset="0"/>
          </a:endParaRPr>
        </a:p>
      </xdr:txBody>
    </xdr:sp>
    <xdr:clientData fPrintsWithSheet="0"/>
  </xdr:twoCellAnchor>
</xdr:wsDr>
</file>

<file path=xl/drawings/drawing17.xml><?xml version="1.0" encoding="utf-8"?>
<xdr:wsDr xmlns:xdr="http://schemas.openxmlformats.org/drawingml/2006/spreadsheetDrawing" xmlns:a="http://schemas.openxmlformats.org/drawingml/2006/main">
  <xdr:twoCellAnchor editAs="oneCell">
    <xdr:from>
      <xdr:col>0</xdr:col>
      <xdr:colOff>76201</xdr:colOff>
      <xdr:row>22</xdr:row>
      <xdr:rowOff>57150</xdr:rowOff>
    </xdr:from>
    <xdr:to>
      <xdr:col>0</xdr:col>
      <xdr:colOff>1838325</xdr:colOff>
      <xdr:row>22</xdr:row>
      <xdr:rowOff>309150</xdr:rowOff>
    </xdr:to>
    <xdr:sp macro="[0]!inserir_linha_em_tamanhos" textlink="">
      <xdr:nvSpPr>
        <xdr:cNvPr id="3" name="Retângulo de cantos arredondados 2">
          <a:extLst>
            <a:ext uri="{FF2B5EF4-FFF2-40B4-BE49-F238E27FC236}">
              <a16:creationId xmlns:a16="http://schemas.microsoft.com/office/drawing/2014/main" id="{00000000-0008-0000-1000-000003000000}"/>
            </a:ext>
          </a:extLst>
        </xdr:cNvPr>
        <xdr:cNvSpPr/>
      </xdr:nvSpPr>
      <xdr:spPr>
        <a:xfrm>
          <a:off x="76201" y="3695700"/>
          <a:ext cx="1762124" cy="252000"/>
        </a:xfrm>
        <a:prstGeom prst="roundRect">
          <a:avLst/>
        </a:prstGeom>
        <a:solidFill>
          <a:schemeClr val="bg1">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rtlCol="0" anchor="ctr"/>
        <a:lstStyle/>
        <a:p>
          <a:pPr algn="ctr"/>
          <a:r>
            <a:rPr lang="pt-BR" sz="1000" b="1">
              <a:solidFill>
                <a:srgbClr val="0000FF"/>
              </a:solidFill>
              <a:latin typeface="Arial" pitchFamily="34" charset="0"/>
              <a:cs typeface="Arial" pitchFamily="34" charset="0"/>
            </a:rPr>
            <a:t>Inserir linha</a:t>
          </a:r>
          <a:endParaRPr lang="pt-BR" sz="800">
            <a:solidFill>
              <a:srgbClr val="0000FF"/>
            </a:solidFill>
            <a:latin typeface="Arial" pitchFamily="34" charset="0"/>
            <a:cs typeface="Arial" pitchFamily="34" charset="0"/>
          </a:endParaRPr>
        </a:p>
      </xdr:txBody>
    </xdr:sp>
    <xdr:clientData fPrintsWithSheet="0"/>
  </xdr:twoCellAnchor>
  <xdr:twoCellAnchor editAs="oneCell">
    <xdr:from>
      <xdr:col>0</xdr:col>
      <xdr:colOff>76200</xdr:colOff>
      <xdr:row>0</xdr:row>
      <xdr:rowOff>76200</xdr:rowOff>
    </xdr:from>
    <xdr:to>
      <xdr:col>0</xdr:col>
      <xdr:colOff>342900</xdr:colOff>
      <xdr:row>0</xdr:row>
      <xdr:rowOff>371475</xdr:rowOff>
    </xdr:to>
    <xdr:sp macro="[0]!ordem_em_tamanhos" textlink="">
      <xdr:nvSpPr>
        <xdr:cNvPr id="4" name="Seta para cima 3">
          <a:extLst>
            <a:ext uri="{FF2B5EF4-FFF2-40B4-BE49-F238E27FC236}">
              <a16:creationId xmlns:a16="http://schemas.microsoft.com/office/drawing/2014/main" id="{00000000-0008-0000-1000-000004000000}"/>
            </a:ext>
          </a:extLst>
        </xdr:cNvPr>
        <xdr:cNvSpPr/>
      </xdr:nvSpPr>
      <xdr:spPr>
        <a:xfrm>
          <a:off x="76200" y="76200"/>
          <a:ext cx="266700" cy="295275"/>
        </a:xfrm>
        <a:prstGeom prst="upArrow">
          <a:avLst/>
        </a:prstGeom>
        <a:solidFill>
          <a:srgbClr val="0000FF"/>
        </a:solidFill>
        <a:ln>
          <a:solidFill>
            <a:srgbClr val="0000FF"/>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pt-BR" sz="1100"/>
        </a:p>
      </xdr:txBody>
    </xdr:sp>
    <xdr:clientData fPrintsWithSheet="0"/>
  </xdr:twoCellAnchor>
  <xdr:twoCellAnchor editAs="oneCell">
    <xdr:from>
      <xdr:col>1</xdr:col>
      <xdr:colOff>123825</xdr:colOff>
      <xdr:row>0</xdr:row>
      <xdr:rowOff>66675</xdr:rowOff>
    </xdr:from>
    <xdr:to>
      <xdr:col>2</xdr:col>
      <xdr:colOff>270225</xdr:colOff>
      <xdr:row>0</xdr:row>
      <xdr:rowOff>354675</xdr:rowOff>
    </xdr:to>
    <xdr:sp macro="[0]!ir_de_tamanhos_para_OP" textlink="">
      <xdr:nvSpPr>
        <xdr:cNvPr id="6" name="Retângulo de cantos arredondados 5">
          <a:extLst>
            <a:ext uri="{FF2B5EF4-FFF2-40B4-BE49-F238E27FC236}">
              <a16:creationId xmlns:a16="http://schemas.microsoft.com/office/drawing/2014/main" id="{00000000-0008-0000-1000-000006000000}"/>
            </a:ext>
          </a:extLst>
        </xdr:cNvPr>
        <xdr:cNvSpPr/>
      </xdr:nvSpPr>
      <xdr:spPr bwMode="auto">
        <a:xfrm>
          <a:off x="2162175" y="66675"/>
          <a:ext cx="756000" cy="288000"/>
        </a:xfrm>
        <a:prstGeom prst="roundRect">
          <a:avLst/>
        </a:prstGeom>
        <a:solidFill>
          <a:schemeClr val="bg1">
            <a:lumMod val="85000"/>
          </a:schemeClr>
        </a:solidFill>
        <a:ln w="9525" cap="flat" cmpd="sng" algn="ctr">
          <a:solidFill>
            <a:schemeClr val="bg1">
              <a:lumMod val="85000"/>
            </a:schemeClr>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100" b="1">
              <a:solidFill>
                <a:schemeClr val="tx1">
                  <a:lumMod val="50000"/>
                  <a:lumOff val="50000"/>
                </a:schemeClr>
              </a:solidFill>
            </a:rPr>
            <a:t>Voltar</a:t>
          </a:r>
        </a:p>
      </xdr:txBody>
    </xdr:sp>
    <xdr:clientData fPrintsWithSheet="0"/>
  </xdr:twoCellAnchor>
  <xdr:twoCellAnchor editAs="oneCell">
    <xdr:from>
      <xdr:col>2</xdr:col>
      <xdr:colOff>381000</xdr:colOff>
      <xdr:row>0</xdr:row>
      <xdr:rowOff>66675</xdr:rowOff>
    </xdr:from>
    <xdr:to>
      <xdr:col>3</xdr:col>
      <xdr:colOff>527400</xdr:colOff>
      <xdr:row>0</xdr:row>
      <xdr:rowOff>354675</xdr:rowOff>
    </xdr:to>
    <xdr:sp macro="[0]!ir_de_tamanhos_para_menu" textlink="">
      <xdr:nvSpPr>
        <xdr:cNvPr id="7" name="Retângulo de cantos arredondados 6">
          <a:extLst>
            <a:ext uri="{FF2B5EF4-FFF2-40B4-BE49-F238E27FC236}">
              <a16:creationId xmlns:a16="http://schemas.microsoft.com/office/drawing/2014/main" id="{00000000-0008-0000-1000-000007000000}"/>
            </a:ext>
          </a:extLst>
        </xdr:cNvPr>
        <xdr:cNvSpPr/>
      </xdr:nvSpPr>
      <xdr:spPr bwMode="auto">
        <a:xfrm>
          <a:off x="3028950" y="66675"/>
          <a:ext cx="756000" cy="288000"/>
        </a:xfrm>
        <a:prstGeom prst="roundRect">
          <a:avLst/>
        </a:prstGeom>
        <a:solidFill>
          <a:srgbClr val="00B0F0"/>
        </a:solidFill>
        <a:ln w="9525" cap="flat" cmpd="sng" algn="ctr">
          <a:solidFill>
            <a:srgbClr val="00B0F0"/>
          </a:solid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pt-BR" sz="1100" b="1">
              <a:solidFill>
                <a:srgbClr val="0000CC"/>
              </a:solidFill>
              <a:latin typeface="Arial" pitchFamily="34" charset="0"/>
              <a:cs typeface="Arial" pitchFamily="34" charset="0"/>
            </a:rPr>
            <a:t>Menu</a:t>
          </a:r>
          <a:endParaRPr lang="pt-BR" sz="1100" b="1">
            <a:solidFill>
              <a:srgbClr val="0000CC"/>
            </a:solidFill>
            <a:latin typeface="Arial" pitchFamily="34" charset="0"/>
            <a:ea typeface="+mn-ea"/>
            <a:cs typeface="Arial" pitchFamily="34" charset="0"/>
          </a:endParaRPr>
        </a:p>
      </xdr:txBody>
    </xdr:sp>
    <xdr:clientData fPrintsWithSheet="0"/>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23.xml"/><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89" Type="http://schemas.openxmlformats.org/officeDocument/2006/relationships/ctrlProp" Target="../ctrlProps/ctrlProp86.xml"/><Relationship Id="rId112" Type="http://schemas.openxmlformats.org/officeDocument/2006/relationships/ctrlProp" Target="../ctrlProps/ctrlProp109.xml"/><Relationship Id="rId16" Type="http://schemas.openxmlformats.org/officeDocument/2006/relationships/ctrlProp" Target="../ctrlProps/ctrlProp13.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5" Type="http://schemas.openxmlformats.org/officeDocument/2006/relationships/ctrlProp" Target="../ctrlProps/ctrlProp2.xml"/><Relationship Id="rId90" Type="http://schemas.openxmlformats.org/officeDocument/2006/relationships/ctrlProp" Target="../ctrlProps/ctrlProp87.xml"/><Relationship Id="rId95" Type="http://schemas.openxmlformats.org/officeDocument/2006/relationships/ctrlProp" Target="../ctrlProps/ctrlProp92.xml"/><Relationship Id="rId22" Type="http://schemas.openxmlformats.org/officeDocument/2006/relationships/ctrlProp" Target="../ctrlProps/ctrlProp19.xml"/><Relationship Id="rId27" Type="http://schemas.openxmlformats.org/officeDocument/2006/relationships/ctrlProp" Target="../ctrlProps/ctrlProp24.xml"/><Relationship Id="rId43" Type="http://schemas.openxmlformats.org/officeDocument/2006/relationships/ctrlProp" Target="../ctrlProps/ctrlProp40.xml"/><Relationship Id="rId48" Type="http://schemas.openxmlformats.org/officeDocument/2006/relationships/ctrlProp" Target="../ctrlProps/ctrlProp45.xml"/><Relationship Id="rId64" Type="http://schemas.openxmlformats.org/officeDocument/2006/relationships/ctrlProp" Target="../ctrlProps/ctrlProp61.xml"/><Relationship Id="rId69" Type="http://schemas.openxmlformats.org/officeDocument/2006/relationships/ctrlProp" Target="../ctrlProps/ctrlProp66.xml"/><Relationship Id="rId113" Type="http://schemas.openxmlformats.org/officeDocument/2006/relationships/ctrlProp" Target="../ctrlProps/ctrlProp110.xml"/><Relationship Id="rId118" Type="http://schemas.openxmlformats.org/officeDocument/2006/relationships/ctrlProp" Target="../ctrlProps/ctrlProp115.xml"/><Relationship Id="rId80" Type="http://schemas.openxmlformats.org/officeDocument/2006/relationships/ctrlProp" Target="../ctrlProps/ctrlProp77.xml"/><Relationship Id="rId85" Type="http://schemas.openxmlformats.org/officeDocument/2006/relationships/ctrlProp" Target="../ctrlProps/ctrlProp82.xml"/><Relationship Id="rId12" Type="http://schemas.openxmlformats.org/officeDocument/2006/relationships/ctrlProp" Target="../ctrlProps/ctrlProp9.xml"/><Relationship Id="rId17" Type="http://schemas.openxmlformats.org/officeDocument/2006/relationships/ctrlProp" Target="../ctrlProps/ctrlProp14.xml"/><Relationship Id="rId33" Type="http://schemas.openxmlformats.org/officeDocument/2006/relationships/ctrlProp" Target="../ctrlProps/ctrlProp30.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08" Type="http://schemas.openxmlformats.org/officeDocument/2006/relationships/ctrlProp" Target="../ctrlProps/ctrlProp105.xml"/><Relationship Id="rId124" Type="http://schemas.openxmlformats.org/officeDocument/2006/relationships/ctrlProp" Target="../ctrlProps/ctrlProp121.xml"/><Relationship Id="rId54" Type="http://schemas.openxmlformats.org/officeDocument/2006/relationships/ctrlProp" Target="../ctrlProps/ctrlProp51.xml"/><Relationship Id="rId70" Type="http://schemas.openxmlformats.org/officeDocument/2006/relationships/ctrlProp" Target="../ctrlProps/ctrlProp67.xml"/><Relationship Id="rId75" Type="http://schemas.openxmlformats.org/officeDocument/2006/relationships/ctrlProp" Target="../ctrlProps/ctrlProp72.xml"/><Relationship Id="rId91" Type="http://schemas.openxmlformats.org/officeDocument/2006/relationships/ctrlProp" Target="../ctrlProps/ctrlProp88.xml"/><Relationship Id="rId96" Type="http://schemas.openxmlformats.org/officeDocument/2006/relationships/ctrlProp" Target="../ctrlProps/ctrlProp93.xml"/><Relationship Id="rId1" Type="http://schemas.openxmlformats.org/officeDocument/2006/relationships/printerSettings" Target="../printerSettings/printerSettings6.bin"/><Relationship Id="rId6" Type="http://schemas.openxmlformats.org/officeDocument/2006/relationships/ctrlProp" Target="../ctrlProps/ctrlProp3.xml"/><Relationship Id="rId23" Type="http://schemas.openxmlformats.org/officeDocument/2006/relationships/ctrlProp" Target="../ctrlProps/ctrlProp20.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119" Type="http://schemas.openxmlformats.org/officeDocument/2006/relationships/ctrlProp" Target="../ctrlProps/ctrlProp116.xml"/><Relationship Id="rId44" Type="http://schemas.openxmlformats.org/officeDocument/2006/relationships/ctrlProp" Target="../ctrlProps/ctrlProp41.xml"/><Relationship Id="rId60" Type="http://schemas.openxmlformats.org/officeDocument/2006/relationships/ctrlProp" Target="../ctrlProps/ctrlProp57.xml"/><Relationship Id="rId65" Type="http://schemas.openxmlformats.org/officeDocument/2006/relationships/ctrlProp" Target="../ctrlProps/ctrlProp62.xml"/><Relationship Id="rId81" Type="http://schemas.openxmlformats.org/officeDocument/2006/relationships/ctrlProp" Target="../ctrlProps/ctrlProp78.xml"/><Relationship Id="rId86" Type="http://schemas.openxmlformats.org/officeDocument/2006/relationships/ctrlProp" Target="../ctrlProps/ctrlProp83.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2" Type="http://schemas.openxmlformats.org/officeDocument/2006/relationships/drawing" Target="../drawings/drawing6.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61" Type="http://schemas.openxmlformats.org/officeDocument/2006/relationships/ctrlProp" Target="../ctrlProps/ctrlProp58.xml"/><Relationship Id="rId82" Type="http://schemas.openxmlformats.org/officeDocument/2006/relationships/ctrlProp" Target="../ctrlProps/ctrlProp79.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omments" Target="../comments2.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3" Type="http://schemas.openxmlformats.org/officeDocument/2006/relationships/vmlDrawing" Target="../drawings/vmlDrawing2.v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27.xml"/><Relationship Id="rId3" Type="http://schemas.openxmlformats.org/officeDocument/2006/relationships/vmlDrawing" Target="../drawings/vmlDrawing3.vml"/><Relationship Id="rId7" Type="http://schemas.openxmlformats.org/officeDocument/2006/relationships/ctrlProp" Target="../ctrlProps/ctrlProp126.xml"/><Relationship Id="rId2" Type="http://schemas.openxmlformats.org/officeDocument/2006/relationships/drawing" Target="../drawings/drawing7.xml"/><Relationship Id="rId1" Type="http://schemas.openxmlformats.org/officeDocument/2006/relationships/printerSettings" Target="../printerSettings/printerSettings7.bin"/><Relationship Id="rId6" Type="http://schemas.openxmlformats.org/officeDocument/2006/relationships/ctrlProp" Target="../ctrlProps/ctrlProp125.xml"/><Relationship Id="rId11" Type="http://schemas.openxmlformats.org/officeDocument/2006/relationships/comments" Target="../comments3.xml"/><Relationship Id="rId5" Type="http://schemas.openxmlformats.org/officeDocument/2006/relationships/ctrlProp" Target="../ctrlProps/ctrlProp124.xml"/><Relationship Id="rId10" Type="http://schemas.openxmlformats.org/officeDocument/2006/relationships/ctrlProp" Target="../ctrlProps/ctrlProp129.xml"/><Relationship Id="rId4" Type="http://schemas.openxmlformats.org/officeDocument/2006/relationships/ctrlProp" Target="../ctrlProps/ctrlProp123.xml"/><Relationship Id="rId9" Type="http://schemas.openxmlformats.org/officeDocument/2006/relationships/ctrlProp" Target="../ctrlProps/ctrlProp128.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trlProp" Target="../ctrlProps/ctrlProp13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3.xml"/><Relationship Id="rId1" Type="http://schemas.openxmlformats.org/officeDocument/2006/relationships/printerSettings" Target="../printerSettings/printerSettings13.bin"/><Relationship Id="rId4" Type="http://schemas.openxmlformats.org/officeDocument/2006/relationships/comments" Target="../comments7.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4.xml"/><Relationship Id="rId1" Type="http://schemas.openxmlformats.org/officeDocument/2006/relationships/printerSettings" Target="../printerSettings/printerSettings14.bin"/><Relationship Id="rId4" Type="http://schemas.openxmlformats.org/officeDocument/2006/relationships/comments" Target="../comments8.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5.xml"/><Relationship Id="rId1" Type="http://schemas.openxmlformats.org/officeDocument/2006/relationships/printerSettings" Target="../printerSettings/printerSettings15.bin"/><Relationship Id="rId4" Type="http://schemas.openxmlformats.org/officeDocument/2006/relationships/comments" Target="../comments9.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10">
    <pageSetUpPr fitToPage="1"/>
  </sheetPr>
  <dimension ref="A1:L73"/>
  <sheetViews>
    <sheetView showGridLines="0" tabSelected="1" zoomScaleNormal="100" workbookViewId="0">
      <pane xSplit="18" ySplit="24" topLeftCell="S25" activePane="bottomRight" state="frozen"/>
      <selection pane="topRight" activeCell="S1" sqref="S1"/>
      <selection pane="bottomLeft" activeCell="A25" sqref="A25"/>
      <selection pane="bottomRight" activeCell="N3" sqref="N3"/>
    </sheetView>
  </sheetViews>
  <sheetFormatPr defaultRowHeight="12.75" x14ac:dyDescent="0.2"/>
  <cols>
    <col min="1" max="1" width="2.28515625" style="1" customWidth="1"/>
    <col min="2" max="2" width="9.140625" style="1" customWidth="1"/>
    <col min="3" max="4" width="10.7109375" style="1" customWidth="1"/>
    <col min="5" max="5" width="9.140625" style="1"/>
    <col min="6" max="7" width="10.7109375" style="1" customWidth="1"/>
    <col min="8" max="8" width="9.140625" style="1" customWidth="1"/>
    <col min="9" max="10" width="10.7109375" style="1" customWidth="1"/>
    <col min="11" max="11" width="9.140625" style="1"/>
    <col min="12" max="12" width="2.28515625" style="1" customWidth="1"/>
    <col min="13" max="17" width="9.140625" style="1"/>
    <col min="18" max="18" width="10.28515625" style="1" customWidth="1"/>
    <col min="19" max="16384" width="9.140625" style="1"/>
  </cols>
  <sheetData>
    <row r="1" spans="1:12" x14ac:dyDescent="0.2">
      <c r="A1" s="278"/>
      <c r="B1" s="278"/>
      <c r="C1" s="278"/>
      <c r="D1" s="278"/>
      <c r="E1" s="278"/>
      <c r="F1" s="278"/>
      <c r="G1" s="278"/>
      <c r="H1" s="278"/>
      <c r="I1" s="278"/>
      <c r="J1" s="278"/>
      <c r="K1" s="278"/>
      <c r="L1" s="278"/>
    </row>
    <row r="2" spans="1:12" ht="21.75" customHeight="1" x14ac:dyDescent="0.2">
      <c r="A2" s="278"/>
      <c r="B2" s="283"/>
      <c r="C2" s="284"/>
      <c r="D2" s="284"/>
      <c r="E2" s="284"/>
      <c r="F2" s="284"/>
      <c r="G2" s="284"/>
      <c r="H2" s="284"/>
      <c r="I2" s="284"/>
      <c r="J2" s="284"/>
      <c r="K2" s="285"/>
      <c r="L2" s="278"/>
    </row>
    <row r="3" spans="1:12" ht="33" customHeight="1" x14ac:dyDescent="0.4">
      <c r="A3" s="278"/>
      <c r="B3" s="286"/>
      <c r="C3" s="279"/>
      <c r="D3" s="279"/>
      <c r="E3" s="280"/>
      <c r="F3" s="280"/>
      <c r="G3" s="280"/>
      <c r="H3" s="280"/>
      <c r="I3" s="279"/>
      <c r="J3" s="279"/>
      <c r="K3" s="281"/>
      <c r="L3" s="278"/>
    </row>
    <row r="4" spans="1:12" ht="16.5" customHeight="1" x14ac:dyDescent="0.4">
      <c r="A4" s="278"/>
      <c r="B4" s="286"/>
      <c r="C4" s="282"/>
      <c r="D4" s="282"/>
      <c r="E4" s="282"/>
      <c r="F4" s="282"/>
      <c r="G4" s="282"/>
      <c r="H4" s="282"/>
      <c r="I4" s="282"/>
      <c r="J4" s="282"/>
      <c r="K4" s="281"/>
      <c r="L4" s="278"/>
    </row>
    <row r="5" spans="1:12" x14ac:dyDescent="0.2">
      <c r="A5" s="278"/>
      <c r="B5" s="286"/>
      <c r="C5" s="278"/>
      <c r="D5" s="278"/>
      <c r="E5" s="278"/>
      <c r="F5" s="278"/>
      <c r="G5" s="278"/>
      <c r="H5" s="278"/>
      <c r="I5" s="278"/>
      <c r="J5" s="278"/>
      <c r="K5" s="281"/>
      <c r="L5" s="278"/>
    </row>
    <row r="6" spans="1:12" x14ac:dyDescent="0.2">
      <c r="A6" s="278"/>
      <c r="B6" s="286"/>
      <c r="C6" s="278"/>
      <c r="D6" s="278"/>
      <c r="E6" s="278"/>
      <c r="F6" s="278"/>
      <c r="G6" s="278"/>
      <c r="H6" s="278"/>
      <c r="I6" s="278"/>
      <c r="J6" s="278"/>
      <c r="K6" s="281"/>
      <c r="L6" s="278"/>
    </row>
    <row r="7" spans="1:12" x14ac:dyDescent="0.2">
      <c r="A7" s="278"/>
      <c r="B7" s="286"/>
      <c r="C7" s="278"/>
      <c r="D7" s="278"/>
      <c r="E7" s="278"/>
      <c r="F7" s="278"/>
      <c r="G7" s="278"/>
      <c r="H7" s="278"/>
      <c r="I7" s="278"/>
      <c r="J7" s="278"/>
      <c r="K7" s="281"/>
      <c r="L7" s="278"/>
    </row>
    <row r="8" spans="1:12" x14ac:dyDescent="0.2">
      <c r="A8" s="278"/>
      <c r="B8" s="286"/>
      <c r="C8" s="278"/>
      <c r="D8" s="278"/>
      <c r="E8" s="278"/>
      <c r="F8" s="278"/>
      <c r="G8" s="278"/>
      <c r="H8" s="278"/>
      <c r="I8" s="278"/>
      <c r="J8" s="278"/>
      <c r="K8" s="281"/>
      <c r="L8" s="278"/>
    </row>
    <row r="9" spans="1:12" x14ac:dyDescent="0.2">
      <c r="A9" s="278"/>
      <c r="B9" s="286"/>
      <c r="C9" s="278"/>
      <c r="D9" s="278"/>
      <c r="E9" s="278"/>
      <c r="F9" s="278"/>
      <c r="G9" s="278"/>
      <c r="H9" s="278"/>
      <c r="I9" s="278"/>
      <c r="J9" s="278"/>
      <c r="K9" s="281"/>
      <c r="L9" s="278"/>
    </row>
    <row r="10" spans="1:12" x14ac:dyDescent="0.2">
      <c r="A10" s="278"/>
      <c r="B10" s="286"/>
      <c r="C10" s="278"/>
      <c r="D10" s="278"/>
      <c r="E10" s="278"/>
      <c r="F10" s="278"/>
      <c r="G10" s="278"/>
      <c r="H10" s="278"/>
      <c r="I10" s="278"/>
      <c r="J10" s="278"/>
      <c r="K10" s="281"/>
      <c r="L10" s="278"/>
    </row>
    <row r="11" spans="1:12" x14ac:dyDescent="0.2">
      <c r="A11" s="278"/>
      <c r="B11" s="286"/>
      <c r="C11" s="278"/>
      <c r="D11" s="278"/>
      <c r="E11" s="278"/>
      <c r="F11" s="278"/>
      <c r="G11" s="278"/>
      <c r="H11" s="278"/>
      <c r="I11" s="278"/>
      <c r="J11" s="278"/>
      <c r="K11" s="281"/>
      <c r="L11" s="278"/>
    </row>
    <row r="12" spans="1:12" x14ac:dyDescent="0.2">
      <c r="A12" s="278"/>
      <c r="B12" s="286"/>
      <c r="C12" s="278"/>
      <c r="D12" s="278"/>
      <c r="E12" s="278"/>
      <c r="F12" s="278"/>
      <c r="G12" s="278"/>
      <c r="H12" s="278"/>
      <c r="I12" s="278"/>
      <c r="J12" s="278"/>
      <c r="K12" s="281"/>
      <c r="L12" s="278"/>
    </row>
    <row r="13" spans="1:12" x14ac:dyDescent="0.2">
      <c r="A13" s="278"/>
      <c r="B13" s="286"/>
      <c r="C13" s="278"/>
      <c r="D13" s="278"/>
      <c r="E13" s="278"/>
      <c r="F13" s="278"/>
      <c r="G13" s="278"/>
      <c r="H13" s="278"/>
      <c r="I13" s="278"/>
      <c r="J13" s="278"/>
      <c r="K13" s="281"/>
      <c r="L13" s="278"/>
    </row>
    <row r="14" spans="1:12" ht="19.5" customHeight="1" x14ac:dyDescent="0.2">
      <c r="A14" s="278"/>
      <c r="B14" s="286"/>
      <c r="C14" s="278"/>
      <c r="D14" s="278"/>
      <c r="E14" s="278"/>
      <c r="F14" s="278"/>
      <c r="G14" s="278"/>
      <c r="H14" s="278"/>
      <c r="I14" s="278"/>
      <c r="J14" s="278"/>
      <c r="K14" s="281"/>
      <c r="L14" s="278"/>
    </row>
    <row r="15" spans="1:12" x14ac:dyDescent="0.2">
      <c r="A15" s="278"/>
      <c r="B15" s="286"/>
      <c r="C15" s="278"/>
      <c r="D15" s="278"/>
      <c r="E15" s="278"/>
      <c r="F15" s="278"/>
      <c r="G15" s="278"/>
      <c r="H15" s="278"/>
      <c r="I15" s="278"/>
      <c r="J15" s="278"/>
      <c r="K15" s="281"/>
      <c r="L15" s="278"/>
    </row>
    <row r="16" spans="1:12" x14ac:dyDescent="0.2">
      <c r="A16" s="278"/>
      <c r="B16" s="286"/>
      <c r="C16" s="278"/>
      <c r="D16" s="278"/>
      <c r="E16" s="278"/>
      <c r="F16" s="278"/>
      <c r="G16" s="278"/>
      <c r="H16" s="278"/>
      <c r="I16" s="278"/>
      <c r="J16" s="278"/>
      <c r="K16" s="281"/>
      <c r="L16" s="278"/>
    </row>
    <row r="17" spans="1:12" x14ac:dyDescent="0.2">
      <c r="A17" s="278"/>
      <c r="B17" s="286"/>
      <c r="C17" s="278"/>
      <c r="D17" s="278"/>
      <c r="E17" s="278"/>
      <c r="F17" s="278"/>
      <c r="G17" s="278"/>
      <c r="H17" s="278"/>
      <c r="I17" s="278"/>
      <c r="J17" s="278"/>
      <c r="K17" s="281"/>
      <c r="L17" s="278"/>
    </row>
    <row r="18" spans="1:12" x14ac:dyDescent="0.2">
      <c r="A18" s="278"/>
      <c r="B18" s="286"/>
      <c r="C18" s="288" t="s">
        <v>0</v>
      </c>
      <c r="D18" s="289"/>
      <c r="E18" s="289"/>
      <c r="F18" s="289"/>
      <c r="G18" s="290"/>
      <c r="H18" s="278"/>
      <c r="I18" s="278"/>
      <c r="J18" s="278"/>
      <c r="K18" s="281"/>
      <c r="L18" s="278"/>
    </row>
    <row r="19" spans="1:12" ht="21.75" customHeight="1" x14ac:dyDescent="0.2">
      <c r="A19" s="278"/>
      <c r="B19" s="286"/>
      <c r="C19" s="293" t="s">
        <v>144</v>
      </c>
      <c r="D19" s="294"/>
      <c r="E19" s="294"/>
      <c r="F19" s="294"/>
      <c r="G19" s="295"/>
      <c r="H19" s="278"/>
      <c r="I19" s="278"/>
      <c r="J19" s="278"/>
      <c r="K19" s="281"/>
      <c r="L19" s="278"/>
    </row>
    <row r="20" spans="1:12" x14ac:dyDescent="0.2">
      <c r="A20" s="278"/>
      <c r="B20" s="286"/>
      <c r="C20" s="296">
        <v>8490676429</v>
      </c>
      <c r="D20" s="297"/>
      <c r="E20" s="297"/>
      <c r="F20" s="297"/>
      <c r="G20" s="298"/>
      <c r="H20" s="278"/>
      <c r="I20" s="278"/>
      <c r="J20" s="278"/>
      <c r="K20" s="281"/>
      <c r="L20" s="278"/>
    </row>
    <row r="21" spans="1:12" ht="13.5" customHeight="1" x14ac:dyDescent="0.2">
      <c r="A21" s="278"/>
      <c r="B21" s="286"/>
      <c r="C21" s="278"/>
      <c r="D21" s="278"/>
      <c r="E21" s="278"/>
      <c r="F21" s="278"/>
      <c r="G21" s="278"/>
      <c r="H21" s="278"/>
      <c r="I21" s="278"/>
      <c r="J21" s="278"/>
      <c r="K21" s="281"/>
      <c r="L21" s="278"/>
    </row>
    <row r="22" spans="1:12" ht="13.5" customHeight="1" x14ac:dyDescent="0.2">
      <c r="A22" s="278"/>
      <c r="B22" s="286"/>
      <c r="C22" s="278"/>
      <c r="D22" s="278"/>
      <c r="E22" s="278"/>
      <c r="F22" s="278"/>
      <c r="G22" s="278"/>
      <c r="H22" s="278"/>
      <c r="I22" s="278"/>
      <c r="J22" s="278"/>
      <c r="K22" s="281"/>
      <c r="L22" s="278"/>
    </row>
    <row r="23" spans="1:12" ht="30" customHeight="1" x14ac:dyDescent="0.2">
      <c r="A23" s="278"/>
      <c r="B23" s="287"/>
      <c r="C23" s="299" t="s">
        <v>1</v>
      </c>
      <c r="D23" s="299"/>
      <c r="E23" s="299"/>
      <c r="F23" s="299"/>
      <c r="G23" s="299"/>
      <c r="H23" s="300" t="s">
        <v>2</v>
      </c>
      <c r="I23" s="300"/>
      <c r="J23" s="300"/>
      <c r="K23" s="301"/>
      <c r="L23" s="278"/>
    </row>
    <row r="24" spans="1:12" x14ac:dyDescent="0.2">
      <c r="A24" s="278"/>
      <c r="B24" s="292" t="s">
        <v>3</v>
      </c>
      <c r="C24" s="292"/>
      <c r="D24" s="292"/>
      <c r="E24" s="292"/>
      <c r="F24" s="292"/>
      <c r="G24" s="292"/>
      <c r="H24" s="292"/>
      <c r="I24" s="292"/>
      <c r="J24" s="292"/>
      <c r="K24" s="292"/>
      <c r="L24" s="278"/>
    </row>
    <row r="51" spans="3:7" ht="0.2" customHeight="1" x14ac:dyDescent="0.25">
      <c r="E51" s="6"/>
      <c r="F51" s="6"/>
      <c r="G51" s="5">
        <v>73051</v>
      </c>
    </row>
    <row r="52" spans="3:7" ht="0.2" customHeight="1" x14ac:dyDescent="0.25">
      <c r="D52" s="2"/>
      <c r="E52" s="6"/>
      <c r="F52" s="6"/>
      <c r="G52" s="4">
        <f ca="1">IF(G60=0,0,IF(G51&lt;TODAY(),0,1))</f>
        <v>1</v>
      </c>
    </row>
    <row r="53" spans="3:7" ht="0.2" customHeight="1" x14ac:dyDescent="0.25">
      <c r="E53" s="6"/>
      <c r="F53" s="6"/>
      <c r="G53" s="4"/>
    </row>
    <row r="54" spans="3:7" ht="0.2" customHeight="1" x14ac:dyDescent="0.25">
      <c r="E54" s="2" t="str">
        <f>Menu!C19</f>
        <v>KAMYLLA ATAYZA BEZERRA FERREIRA</v>
      </c>
      <c r="F54" s="6"/>
      <c r="G54" s="2" t="s">
        <v>144</v>
      </c>
    </row>
    <row r="55" spans="3:7" ht="0.2" customHeight="1" x14ac:dyDescent="0.25">
      <c r="E55" s="3">
        <f>Menu!C20</f>
        <v>8490676429</v>
      </c>
      <c r="F55" s="6"/>
      <c r="G55" s="3">
        <v>8490676429</v>
      </c>
    </row>
    <row r="56" spans="3:7" ht="0.2" customHeight="1" x14ac:dyDescent="0.25">
      <c r="E56" s="6"/>
      <c r="F56" s="6"/>
      <c r="G56" s="2" t="s">
        <v>1</v>
      </c>
    </row>
    <row r="57" spans="3:7" ht="0.2" customHeight="1" x14ac:dyDescent="0.25">
      <c r="E57" s="6"/>
      <c r="F57" s="6"/>
      <c r="G57" s="2" t="s">
        <v>2</v>
      </c>
    </row>
    <row r="58" spans="3:7" ht="0.2" customHeight="1" x14ac:dyDescent="0.25">
      <c r="E58" s="6"/>
      <c r="F58" s="6"/>
      <c r="G58" s="2" t="str">
        <f>CONCATENATE(G54,G55,G56,G57)</f>
        <v>KAMYLLA ATAYZA BEZERRA FERREIRA8490676429© 2012 - Pedro Paulo Andriani. Todos os direitos reservados.
Planilhas para Confecção</v>
      </c>
    </row>
    <row r="59" spans="3:7" ht="0.2" customHeight="1" x14ac:dyDescent="0.25">
      <c r="E59" s="6"/>
      <c r="F59" s="6"/>
      <c r="G59" s="2" t="str">
        <f>CONCATENATE(Menu!C61,Menu!C62,Menu!C63,Menu!C64)</f>
        <v>KAMYLLA ATAYZA BEZERRA FERREIRA8490676429© 2012 - Pedro Paulo Andriani. Todos os direitos reservados.
Planilhas para Confecção</v>
      </c>
    </row>
    <row r="60" spans="3:7" ht="0.2" customHeight="1" x14ac:dyDescent="0.25">
      <c r="E60" s="6"/>
      <c r="F60" s="6"/>
      <c r="G60" s="2">
        <f>IF(G58&lt;&gt;G59,0,1)</f>
        <v>1</v>
      </c>
    </row>
    <row r="61" spans="3:7" ht="0.2" customHeight="1" x14ac:dyDescent="0.2">
      <c r="C61" s="2" t="str">
        <f>C19</f>
        <v>KAMYLLA ATAYZA BEZERRA FERREIRA</v>
      </c>
    </row>
    <row r="62" spans="3:7" ht="0.2" customHeight="1" x14ac:dyDescent="0.2">
      <c r="C62" s="2">
        <f>C20</f>
        <v>8490676429</v>
      </c>
    </row>
    <row r="63" spans="3:7" ht="0.2" customHeight="1" x14ac:dyDescent="0.2">
      <c r="C63" s="2" t="str">
        <f>C23</f>
        <v xml:space="preserve">© 2012 - Pedro Paulo Andriani. Todos os direitos reservados.
</v>
      </c>
    </row>
    <row r="64" spans="3:7" ht="0.2" customHeight="1" x14ac:dyDescent="0.2">
      <c r="C64" s="2" t="str">
        <f>H23</f>
        <v>Planilhas para Confecção</v>
      </c>
    </row>
    <row r="66" s="1" customFormat="1" x14ac:dyDescent="0.2"/>
    <row r="67" s="1" customFormat="1" x14ac:dyDescent="0.2"/>
    <row r="68" s="1" customFormat="1" x14ac:dyDescent="0.2"/>
    <row r="69" s="1" customFormat="1" x14ac:dyDescent="0.2"/>
    <row r="70" s="1" customFormat="1" x14ac:dyDescent="0.2"/>
    <row r="71" s="1" customFormat="1" x14ac:dyDescent="0.2"/>
    <row r="72" s="1" customFormat="1" x14ac:dyDescent="0.2"/>
    <row r="73" s="1" customFormat="1" x14ac:dyDescent="0.2"/>
  </sheetData>
  <sheetProtection password="CD18" sheet="1" objects="1" scenarios="1" selectLockedCells="1"/>
  <mergeCells count="5">
    <mergeCell ref="B24:K24"/>
    <mergeCell ref="C19:G19"/>
    <mergeCell ref="C20:G20"/>
    <mergeCell ref="C23:G23"/>
    <mergeCell ref="H23:K23"/>
  </mergeCells>
  <printOptions horizontalCentered="1"/>
  <pageMargins left="0" right="0" top="0.59055118110236227" bottom="0.39370078740157483" header="0" footer="0"/>
  <pageSetup paperSize="9" scale="99" orientation="portrait" blackAndWhite="1"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1"/>
  <dimension ref="A1:X148"/>
  <sheetViews>
    <sheetView showZeros="0" zoomScaleNormal="100" workbookViewId="0">
      <pane ySplit="5" topLeftCell="A6" activePane="bottomLeft" state="frozen"/>
      <selection pane="bottomLeft" activeCell="C6" sqref="C6"/>
    </sheetView>
  </sheetViews>
  <sheetFormatPr defaultRowHeight="15" x14ac:dyDescent="0.25"/>
  <cols>
    <col min="1" max="1" width="0.140625" style="28" customWidth="1"/>
    <col min="2" max="2" width="6.28515625" customWidth="1"/>
    <col min="3" max="3" width="49.7109375" customWidth="1"/>
    <col min="4" max="6" width="11.42578125" customWidth="1"/>
    <col min="7" max="7" width="14.7109375" customWidth="1"/>
    <col min="13" max="13" width="19.140625" customWidth="1"/>
    <col min="14" max="14" width="9.140625" style="27" hidden="1" customWidth="1"/>
  </cols>
  <sheetData>
    <row r="1" spans="1:24" ht="28.5" customHeight="1" x14ac:dyDescent="0.25">
      <c r="B1" s="42"/>
      <c r="C1" s="43" t="s">
        <v>38</v>
      </c>
      <c r="D1" s="42"/>
      <c r="E1" s="68" t="s">
        <v>34</v>
      </c>
      <c r="F1" s="67">
        <f ca="1">TODAY()</f>
        <v>46133</v>
      </c>
      <c r="G1" s="42"/>
      <c r="H1" s="42"/>
      <c r="I1" s="42"/>
      <c r="J1" s="42"/>
      <c r="K1" s="42"/>
      <c r="L1" s="42"/>
      <c r="M1" s="42"/>
      <c r="N1" s="27">
        <f ca="1">IF(OR(F1=0,C2=0),0,1)</f>
        <v>0</v>
      </c>
      <c r="O1" s="42"/>
      <c r="P1" s="42"/>
      <c r="Q1" s="42"/>
      <c r="R1" s="42"/>
      <c r="S1" s="42"/>
      <c r="T1" s="42"/>
      <c r="U1" s="42"/>
      <c r="V1" s="42"/>
      <c r="W1" s="42"/>
      <c r="X1" s="42"/>
    </row>
    <row r="2" spans="1:24" ht="18.75" customHeight="1" x14ac:dyDescent="0.25">
      <c r="A2" s="29"/>
      <c r="B2" s="45"/>
      <c r="C2" s="26"/>
      <c r="D2" s="303"/>
      <c r="E2" s="303"/>
      <c r="F2" s="42"/>
      <c r="G2" s="42"/>
      <c r="H2" s="42"/>
      <c r="I2" s="42"/>
      <c r="J2" s="42"/>
      <c r="K2" s="42"/>
      <c r="L2" s="42"/>
      <c r="M2" s="42"/>
      <c r="N2" s="27">
        <f>IF(OR(C6=0,C7=0),0,1)</f>
        <v>0</v>
      </c>
      <c r="O2" s="42"/>
      <c r="P2" s="42"/>
      <c r="Q2" s="42"/>
      <c r="R2" s="42"/>
      <c r="S2" s="42"/>
      <c r="T2" s="42"/>
      <c r="U2" s="42"/>
      <c r="V2" s="42"/>
      <c r="W2" s="42"/>
      <c r="X2" s="42"/>
    </row>
    <row r="3" spans="1:24" ht="18.75" customHeight="1" x14ac:dyDescent="0.25">
      <c r="A3" s="30"/>
      <c r="B3" s="46"/>
      <c r="C3" s="302" t="str">
        <f>IF(C2=0,"",VLOOKUP(C2,Ref!A:B,2,FALSE))</f>
        <v/>
      </c>
      <c r="D3" s="302"/>
      <c r="E3" s="302"/>
      <c r="F3" s="302"/>
      <c r="G3" s="42"/>
      <c r="H3" s="42"/>
      <c r="I3" s="42"/>
      <c r="J3" s="42"/>
      <c r="K3" s="42"/>
      <c r="L3" s="42"/>
      <c r="M3" s="42"/>
      <c r="N3" s="27" t="str">
        <f>IF(C2=0,"",IF(ISERROR(VLOOKUP(C2,'BD Seq Op'!B:H,1,FALSE)),"","Já cadastrada."))</f>
        <v/>
      </c>
      <c r="O3" s="42"/>
      <c r="P3" s="42"/>
      <c r="Q3" s="42"/>
      <c r="R3" s="42"/>
      <c r="S3" s="42"/>
      <c r="T3" s="42"/>
      <c r="U3" s="42"/>
      <c r="V3" s="42"/>
      <c r="W3" s="42"/>
      <c r="X3" s="42"/>
    </row>
    <row r="4" spans="1:24" s="27" customFormat="1" ht="0.2" customHeight="1" x14ac:dyDescent="0.25">
      <c r="A4" s="53" t="s">
        <v>21</v>
      </c>
      <c r="B4" s="54" t="s">
        <v>13</v>
      </c>
      <c r="C4" s="54" t="s">
        <v>12</v>
      </c>
      <c r="D4" s="55" t="s">
        <v>4</v>
      </c>
      <c r="E4" s="55" t="s">
        <v>15</v>
      </c>
      <c r="F4" s="55" t="s">
        <v>11</v>
      </c>
    </row>
    <row r="5" spans="1:24" ht="30.75" thickBot="1" x14ac:dyDescent="0.3">
      <c r="A5" s="31" t="s">
        <v>22</v>
      </c>
      <c r="B5" s="47" t="s">
        <v>13</v>
      </c>
      <c r="C5" s="47" t="s">
        <v>27</v>
      </c>
      <c r="D5" s="48" t="s">
        <v>4</v>
      </c>
      <c r="E5" s="48" t="s">
        <v>15</v>
      </c>
      <c r="F5" s="48" t="s">
        <v>11</v>
      </c>
      <c r="G5" s="42"/>
      <c r="H5" s="265" t="str">
        <f>IF(SUM(G6:G125)&gt;0," ATENÇÃO! Você deixou alguma linha acima em branco, não é permitido.","")</f>
        <v/>
      </c>
      <c r="I5" s="42"/>
      <c r="J5" s="42"/>
      <c r="K5" s="42"/>
      <c r="L5" s="42"/>
      <c r="M5" s="42"/>
      <c r="N5" s="80" t="str">
        <f ca="1">IF(N3="Já cadastrada.","- - -",IF(SUM(N6:N125)&gt;0,"- - -",IF(N1+N2=2,"Cadastrar","- - -")))</f>
        <v>- - -</v>
      </c>
      <c r="O5" s="42"/>
      <c r="P5" s="42"/>
      <c r="Q5" s="42"/>
      <c r="R5" s="42"/>
      <c r="S5" s="42"/>
      <c r="T5" s="42"/>
      <c r="U5" s="42"/>
      <c r="V5" s="42"/>
      <c r="W5" s="42"/>
      <c r="X5" s="42"/>
    </row>
    <row r="6" spans="1:24" ht="18" customHeight="1" x14ac:dyDescent="0.25">
      <c r="A6" s="32" t="str">
        <f>IF(C6=0,"Não","Sim")</f>
        <v>Não</v>
      </c>
      <c r="B6" s="10">
        <v>10</v>
      </c>
      <c r="C6" s="9"/>
      <c r="D6" s="44">
        <f>IF(C6=0,0,IF(ISERROR(VLOOKUP(C6,Operações!A:D,2,FALSE)),0,VLOOKUP(C6,Operações!A:D,2,FALSE)))</f>
        <v>0</v>
      </c>
      <c r="E6" s="44">
        <f>IF(C6=0,0,IF(ISERROR(VLOOKUP(C6,Operações!A:D,3,FALSE)),0,VLOOKUP(C6,Operações!A:D,3,FALSE)))</f>
        <v>0</v>
      </c>
      <c r="F6" s="50">
        <f>IF(C6=0,0,IF(ISERROR(VLOOKUP(C6,Operações!A:D,4,FALSE)),0,VLOOKUP(C6,Operações!A:D,4,FALSE)))</f>
        <v>0</v>
      </c>
      <c r="G6" s="42"/>
      <c r="H6" s="42"/>
      <c r="I6" s="42"/>
      <c r="J6" s="42"/>
      <c r="K6" s="42"/>
      <c r="L6" s="42"/>
      <c r="M6" s="42"/>
      <c r="N6" s="27">
        <f t="shared" ref="N6:N37" si="0">IF(C6=0,0,IF(AND(D6&lt;&gt;0,F6&lt;&gt;0),0,1))</f>
        <v>0</v>
      </c>
      <c r="O6" s="42"/>
      <c r="P6" s="42"/>
      <c r="Q6" s="42"/>
      <c r="R6" s="42"/>
      <c r="S6" s="42"/>
      <c r="T6" s="42"/>
      <c r="U6" s="42"/>
      <c r="V6" s="42"/>
      <c r="W6" s="42"/>
      <c r="X6" s="42"/>
    </row>
    <row r="7" spans="1:24" ht="18" customHeight="1" x14ac:dyDescent="0.25">
      <c r="A7" s="32" t="str">
        <f t="shared" ref="A7:A70" si="1">IF(C7=0,"Não","Sim")</f>
        <v>Não</v>
      </c>
      <c r="B7" s="8">
        <v>20</v>
      </c>
      <c r="C7" s="7"/>
      <c r="D7" s="44">
        <f>IF(C7=0,0,IF(ISERROR(VLOOKUP(C7,Operações!A:D,2,FALSE)),0,VLOOKUP(C7,Operações!A:D,2,FALSE)))</f>
        <v>0</v>
      </c>
      <c r="E7" s="44">
        <f>IF(C7=0,0,IF(ISERROR(VLOOKUP(C7,Operações!A:D,3,FALSE)),0,VLOOKUP(C7,Operações!A:D,3,FALSE)))</f>
        <v>0</v>
      </c>
      <c r="F7" s="50">
        <f>IF(C7=0,0,IF(ISERROR(VLOOKUP(C7,Operações!A:D,4,FALSE)),0,VLOOKUP(C7,Operações!A:D,4,FALSE)))</f>
        <v>0</v>
      </c>
      <c r="G7" s="79">
        <f>IF(AND(C6=0,C7&lt;&gt;0),1,0)</f>
        <v>0</v>
      </c>
      <c r="H7" s="42"/>
      <c r="I7" s="42"/>
      <c r="J7" s="42"/>
      <c r="K7" s="42"/>
      <c r="L7" s="42"/>
      <c r="M7" s="42"/>
      <c r="N7" s="27">
        <f t="shared" si="0"/>
        <v>0</v>
      </c>
      <c r="O7" s="42"/>
      <c r="P7" s="42"/>
      <c r="Q7" s="42"/>
      <c r="R7" s="42"/>
      <c r="S7" s="42"/>
      <c r="T7" s="42"/>
      <c r="U7" s="42"/>
      <c r="V7" s="42"/>
      <c r="W7" s="42"/>
      <c r="X7" s="42"/>
    </row>
    <row r="8" spans="1:24" ht="18" customHeight="1" x14ac:dyDescent="0.25">
      <c r="A8" s="32" t="str">
        <f t="shared" si="1"/>
        <v>Não</v>
      </c>
      <c r="B8" s="10">
        <v>30</v>
      </c>
      <c r="C8" s="266"/>
      <c r="D8" s="44">
        <f>IF(C8=0,0,IF(ISERROR(VLOOKUP(C8,Operações!A:D,2,FALSE)),0,VLOOKUP(C8,Operações!A:D,2,FALSE)))</f>
        <v>0</v>
      </c>
      <c r="E8" s="44">
        <f>IF(C8=0,0,IF(ISERROR(VLOOKUP(C8,Operações!A:D,3,FALSE)),0,VLOOKUP(C8,Operações!A:D,3,FALSE)))</f>
        <v>0</v>
      </c>
      <c r="F8" s="50">
        <f>IF(C8=0,0,IF(ISERROR(VLOOKUP(C8,Operações!A:D,4,FALSE)),0,VLOOKUP(C8,Operações!A:D,4,FALSE)))</f>
        <v>0</v>
      </c>
      <c r="G8" s="79">
        <f>IF(AND(C7=0,C8&lt;&gt;0),1,0)</f>
        <v>0</v>
      </c>
      <c r="H8" s="42"/>
      <c r="I8" s="42"/>
      <c r="J8" s="42"/>
      <c r="K8" s="42"/>
      <c r="L8" s="42"/>
      <c r="M8" s="42"/>
      <c r="N8" s="27">
        <f t="shared" si="0"/>
        <v>0</v>
      </c>
      <c r="O8" s="42"/>
      <c r="P8" s="42"/>
      <c r="Q8" s="42"/>
      <c r="R8" s="42"/>
      <c r="S8" s="42"/>
      <c r="T8" s="42"/>
      <c r="U8" s="42"/>
      <c r="V8" s="42"/>
      <c r="W8" s="42"/>
      <c r="X8" s="42"/>
    </row>
    <row r="9" spans="1:24" ht="18" customHeight="1" x14ac:dyDescent="0.25">
      <c r="A9" s="32" t="str">
        <f t="shared" si="1"/>
        <v>Não</v>
      </c>
      <c r="B9" s="8">
        <v>40</v>
      </c>
      <c r="C9" s="7"/>
      <c r="D9" s="44">
        <f>IF(C9=0,0,IF(ISERROR(VLOOKUP(C9,Operações!A:D,2,FALSE)),0,VLOOKUP(C9,Operações!A:D,2,FALSE)))</f>
        <v>0</v>
      </c>
      <c r="E9" s="44">
        <f>IF(C9=0,0,IF(ISERROR(VLOOKUP(C9,Operações!A:D,3,FALSE)),0,VLOOKUP(C9,Operações!A:D,3,FALSE)))</f>
        <v>0</v>
      </c>
      <c r="F9" s="50">
        <f>IF(C9=0,0,IF(ISERROR(VLOOKUP(C9,Operações!A:D,4,FALSE)),0,VLOOKUP(C9,Operações!A:D,4,FALSE)))</f>
        <v>0</v>
      </c>
      <c r="G9" s="79">
        <f t="shared" ref="G9:G72" si="2">IF(AND(C8=0,C9&lt;&gt;0),1,0)</f>
        <v>0</v>
      </c>
      <c r="H9" s="42"/>
      <c r="I9" s="42"/>
      <c r="J9" s="42"/>
      <c r="K9" s="42"/>
      <c r="L9" s="42"/>
      <c r="M9" s="42"/>
      <c r="N9" s="27">
        <f t="shared" si="0"/>
        <v>0</v>
      </c>
      <c r="O9" s="42"/>
      <c r="P9" s="42"/>
      <c r="Q9" s="42"/>
      <c r="R9" s="42"/>
      <c r="S9" s="42"/>
      <c r="T9" s="42"/>
      <c r="U9" s="42"/>
      <c r="V9" s="42"/>
      <c r="W9" s="42"/>
      <c r="X9" s="42"/>
    </row>
    <row r="10" spans="1:24" ht="18" customHeight="1" x14ac:dyDescent="0.25">
      <c r="A10" s="32" t="str">
        <f t="shared" si="1"/>
        <v>Não</v>
      </c>
      <c r="B10" s="10">
        <v>50</v>
      </c>
      <c r="C10" s="7"/>
      <c r="D10" s="44">
        <f>IF(C10=0,0,IF(ISERROR(VLOOKUP(C10,Operações!A:D,2,FALSE)),0,VLOOKUP(C10,Operações!A:D,2,FALSE)))</f>
        <v>0</v>
      </c>
      <c r="E10" s="44">
        <f>IF(C10=0,0,IF(ISERROR(VLOOKUP(C10,Operações!A:D,3,FALSE)),0,VLOOKUP(C10,Operações!A:D,3,FALSE)))</f>
        <v>0</v>
      </c>
      <c r="F10" s="50">
        <f>IF(C10=0,0,IF(ISERROR(VLOOKUP(C10,Operações!A:D,4,FALSE)),0,VLOOKUP(C10,Operações!A:D,4,FALSE)))</f>
        <v>0</v>
      </c>
      <c r="G10" s="79">
        <f t="shared" si="2"/>
        <v>0</v>
      </c>
      <c r="H10" s="42"/>
      <c r="I10" s="42"/>
      <c r="J10" s="42"/>
      <c r="K10" s="42"/>
      <c r="L10" s="42"/>
      <c r="M10" s="42"/>
      <c r="N10" s="27">
        <f t="shared" si="0"/>
        <v>0</v>
      </c>
      <c r="O10" s="42"/>
      <c r="P10" s="42"/>
      <c r="Q10" s="42"/>
      <c r="R10" s="42"/>
      <c r="S10" s="42"/>
      <c r="T10" s="42"/>
      <c r="U10" s="42"/>
      <c r="V10" s="42"/>
      <c r="W10" s="42"/>
      <c r="X10" s="42"/>
    </row>
    <row r="11" spans="1:24" ht="18" customHeight="1" x14ac:dyDescent="0.25">
      <c r="A11" s="32" t="str">
        <f t="shared" si="1"/>
        <v>Não</v>
      </c>
      <c r="B11" s="8">
        <v>60</v>
      </c>
      <c r="C11" s="7"/>
      <c r="D11" s="44">
        <f>IF(C11=0,0,IF(ISERROR(VLOOKUP(C11,Operações!A:D,2,FALSE)),0,VLOOKUP(C11,Operações!A:D,2,FALSE)))</f>
        <v>0</v>
      </c>
      <c r="E11" s="44">
        <f>IF(C11=0,0,IF(ISERROR(VLOOKUP(C11,Operações!A:D,3,FALSE)),0,VLOOKUP(C11,Operações!A:D,3,FALSE)))</f>
        <v>0</v>
      </c>
      <c r="F11" s="50">
        <f>IF(C11=0,0,IF(ISERROR(VLOOKUP(C11,Operações!A:D,4,FALSE)),0,VLOOKUP(C11,Operações!A:D,4,FALSE)))</f>
        <v>0</v>
      </c>
      <c r="G11" s="79">
        <f t="shared" si="2"/>
        <v>0</v>
      </c>
      <c r="H11" s="42"/>
      <c r="I11" s="42"/>
      <c r="J11" s="42"/>
      <c r="K11" s="42"/>
      <c r="L11" s="42"/>
      <c r="M11" s="42"/>
      <c r="N11" s="27">
        <f t="shared" si="0"/>
        <v>0</v>
      </c>
      <c r="O11" s="42"/>
      <c r="P11" s="42"/>
      <c r="Q11" s="42"/>
      <c r="R11" s="42"/>
      <c r="S11" s="42"/>
      <c r="T11" s="42"/>
      <c r="U11" s="42"/>
      <c r="V11" s="42"/>
      <c r="W11" s="42"/>
      <c r="X11" s="42"/>
    </row>
    <row r="12" spans="1:24" ht="18" customHeight="1" x14ac:dyDescent="0.25">
      <c r="A12" s="32" t="str">
        <f t="shared" si="1"/>
        <v>Não</v>
      </c>
      <c r="B12" s="10">
        <v>70</v>
      </c>
      <c r="C12" s="7"/>
      <c r="D12" s="44">
        <f>IF(C12=0,0,IF(ISERROR(VLOOKUP(C12,Operações!A:D,2,FALSE)),0,VLOOKUP(C12,Operações!A:D,2,FALSE)))</f>
        <v>0</v>
      </c>
      <c r="E12" s="44">
        <f>IF(C12=0,0,IF(ISERROR(VLOOKUP(C12,Operações!A:D,3,FALSE)),0,VLOOKUP(C12,Operações!A:D,3,FALSE)))</f>
        <v>0</v>
      </c>
      <c r="F12" s="50">
        <f>IF(C12=0,0,IF(ISERROR(VLOOKUP(C12,Operações!A:D,4,FALSE)),0,VLOOKUP(C12,Operações!A:D,4,FALSE)))</f>
        <v>0</v>
      </c>
      <c r="G12" s="79">
        <f t="shared" si="2"/>
        <v>0</v>
      </c>
      <c r="H12" s="42"/>
      <c r="I12" s="42"/>
      <c r="J12" s="42"/>
      <c r="K12" s="42"/>
      <c r="L12" s="42"/>
      <c r="M12" s="42"/>
      <c r="N12" s="27">
        <f t="shared" si="0"/>
        <v>0</v>
      </c>
      <c r="O12" s="42"/>
      <c r="P12" s="42"/>
      <c r="Q12" s="42"/>
      <c r="R12" s="42"/>
      <c r="S12" s="42"/>
      <c r="T12" s="42"/>
      <c r="U12" s="42"/>
      <c r="V12" s="42"/>
      <c r="W12" s="42"/>
      <c r="X12" s="42"/>
    </row>
    <row r="13" spans="1:24" ht="18" customHeight="1" x14ac:dyDescent="0.25">
      <c r="A13" s="32" t="str">
        <f t="shared" si="1"/>
        <v>Não</v>
      </c>
      <c r="B13" s="8">
        <v>80</v>
      </c>
      <c r="C13" s="7"/>
      <c r="D13" s="44">
        <f>IF(C13=0,0,IF(ISERROR(VLOOKUP(C13,Operações!A:D,2,FALSE)),0,VLOOKUP(C13,Operações!A:D,2,FALSE)))</f>
        <v>0</v>
      </c>
      <c r="E13" s="44">
        <f>IF(C13=0,0,IF(ISERROR(VLOOKUP(C13,Operações!A:D,3,FALSE)),0,VLOOKUP(C13,Operações!A:D,3,FALSE)))</f>
        <v>0</v>
      </c>
      <c r="F13" s="50">
        <f>IF(C13=0,0,IF(ISERROR(VLOOKUP(C13,Operações!A:D,4,FALSE)),0,VLOOKUP(C13,Operações!A:D,4,FALSE)))</f>
        <v>0</v>
      </c>
      <c r="G13" s="79">
        <f t="shared" si="2"/>
        <v>0</v>
      </c>
      <c r="H13" s="42"/>
      <c r="I13" s="42"/>
      <c r="J13" s="42"/>
      <c r="K13" s="42"/>
      <c r="L13" s="42"/>
      <c r="M13" s="42"/>
      <c r="N13" s="27">
        <f t="shared" si="0"/>
        <v>0</v>
      </c>
      <c r="O13" s="42"/>
      <c r="P13" s="42"/>
      <c r="Q13" s="42"/>
      <c r="R13" s="42"/>
      <c r="S13" s="42"/>
      <c r="T13" s="42"/>
      <c r="U13" s="42"/>
      <c r="V13" s="42"/>
      <c r="W13" s="42"/>
      <c r="X13" s="42"/>
    </row>
    <row r="14" spans="1:24" ht="18" customHeight="1" x14ac:dyDescent="0.25">
      <c r="A14" s="32" t="str">
        <f t="shared" si="1"/>
        <v>Não</v>
      </c>
      <c r="B14" s="10">
        <v>90</v>
      </c>
      <c r="C14" s="7"/>
      <c r="D14" s="44">
        <f>IF(C14=0,0,IF(ISERROR(VLOOKUP(C14,Operações!A:D,2,FALSE)),0,VLOOKUP(C14,Operações!A:D,2,FALSE)))</f>
        <v>0</v>
      </c>
      <c r="E14" s="44">
        <f>IF(C14=0,0,IF(ISERROR(VLOOKUP(C14,Operações!A:D,3,FALSE)),0,VLOOKUP(C14,Operações!A:D,3,FALSE)))</f>
        <v>0</v>
      </c>
      <c r="F14" s="50">
        <f>IF(C14=0,0,IF(ISERROR(VLOOKUP(C14,Operações!A:D,4,FALSE)),0,VLOOKUP(C14,Operações!A:D,4,FALSE)))</f>
        <v>0</v>
      </c>
      <c r="G14" s="79">
        <f t="shared" si="2"/>
        <v>0</v>
      </c>
      <c r="H14" s="42"/>
      <c r="I14" s="42"/>
      <c r="J14" s="42"/>
      <c r="K14" s="42"/>
      <c r="L14" s="42"/>
      <c r="M14" s="42"/>
      <c r="N14" s="27">
        <f t="shared" si="0"/>
        <v>0</v>
      </c>
      <c r="O14" s="42"/>
      <c r="P14" s="42"/>
      <c r="Q14" s="42"/>
      <c r="R14" s="42"/>
      <c r="S14" s="42"/>
      <c r="T14" s="42"/>
      <c r="U14" s="42"/>
      <c r="V14" s="42"/>
      <c r="W14" s="42"/>
      <c r="X14" s="42"/>
    </row>
    <row r="15" spans="1:24" ht="18" customHeight="1" x14ac:dyDescent="0.25">
      <c r="A15" s="32" t="str">
        <f t="shared" si="1"/>
        <v>Não</v>
      </c>
      <c r="B15" s="8">
        <v>100</v>
      </c>
      <c r="C15" s="7"/>
      <c r="D15" s="44">
        <f>IF(C15=0,0,IF(ISERROR(VLOOKUP(C15,Operações!A:D,2,FALSE)),0,VLOOKUP(C15,Operações!A:D,2,FALSE)))</f>
        <v>0</v>
      </c>
      <c r="E15" s="44">
        <f>IF(C15=0,0,IF(ISERROR(VLOOKUP(C15,Operações!A:D,3,FALSE)),0,VLOOKUP(C15,Operações!A:D,3,FALSE)))</f>
        <v>0</v>
      </c>
      <c r="F15" s="50">
        <f>IF(C15=0,0,IF(ISERROR(VLOOKUP(C15,Operações!A:D,4,FALSE)),0,VLOOKUP(C15,Operações!A:D,4,FALSE)))</f>
        <v>0</v>
      </c>
      <c r="G15" s="79">
        <f t="shared" si="2"/>
        <v>0</v>
      </c>
      <c r="H15" s="42"/>
      <c r="I15" s="42"/>
      <c r="J15" s="42"/>
      <c r="K15" s="42"/>
      <c r="L15" s="42"/>
      <c r="M15" s="42"/>
      <c r="N15" s="27">
        <f t="shared" si="0"/>
        <v>0</v>
      </c>
      <c r="O15" s="42"/>
      <c r="P15" s="42"/>
      <c r="Q15" s="42"/>
      <c r="R15" s="42"/>
      <c r="S15" s="42"/>
      <c r="T15" s="42"/>
      <c r="U15" s="42"/>
      <c r="V15" s="42"/>
      <c r="W15" s="42"/>
      <c r="X15" s="42"/>
    </row>
    <row r="16" spans="1:24" ht="18" customHeight="1" x14ac:dyDescent="0.25">
      <c r="A16" s="32" t="str">
        <f t="shared" si="1"/>
        <v>Não</v>
      </c>
      <c r="B16" s="10">
        <v>110</v>
      </c>
      <c r="C16" s="7"/>
      <c r="D16" s="44">
        <f>IF(C16=0,0,IF(ISERROR(VLOOKUP(C16,Operações!A:D,2,FALSE)),0,VLOOKUP(C16,Operações!A:D,2,FALSE)))</f>
        <v>0</v>
      </c>
      <c r="E16" s="44">
        <f>IF(C16=0,0,IF(ISERROR(VLOOKUP(C16,Operações!A:D,3,FALSE)),0,VLOOKUP(C16,Operações!A:D,3,FALSE)))</f>
        <v>0</v>
      </c>
      <c r="F16" s="50">
        <f>IF(C16=0,0,IF(ISERROR(VLOOKUP(C16,Operações!A:D,4,FALSE)),0,VLOOKUP(C16,Operações!A:D,4,FALSE)))</f>
        <v>0</v>
      </c>
      <c r="G16" s="79">
        <f t="shared" si="2"/>
        <v>0</v>
      </c>
      <c r="H16" s="42"/>
      <c r="I16" s="42"/>
      <c r="J16" s="42"/>
      <c r="K16" s="42"/>
      <c r="L16" s="42"/>
      <c r="M16" s="42"/>
      <c r="N16" s="27">
        <f t="shared" si="0"/>
        <v>0</v>
      </c>
      <c r="O16" s="42"/>
      <c r="P16" s="42"/>
      <c r="Q16" s="42"/>
      <c r="R16" s="42"/>
      <c r="S16" s="42"/>
      <c r="T16" s="42"/>
      <c r="U16" s="42"/>
      <c r="V16" s="42"/>
      <c r="W16" s="42"/>
      <c r="X16" s="42"/>
    </row>
    <row r="17" spans="1:24" ht="18" customHeight="1" x14ac:dyDescent="0.25">
      <c r="A17" s="32" t="str">
        <f t="shared" si="1"/>
        <v>Não</v>
      </c>
      <c r="B17" s="8">
        <v>120</v>
      </c>
      <c r="C17" s="7"/>
      <c r="D17" s="44">
        <f>IF(C17=0,0,IF(ISERROR(VLOOKUP(C17,Operações!A:D,2,FALSE)),0,VLOOKUP(C17,Operações!A:D,2,FALSE)))</f>
        <v>0</v>
      </c>
      <c r="E17" s="44">
        <f>IF(C17=0,0,IF(ISERROR(VLOOKUP(C17,Operações!A:D,3,FALSE)),0,VLOOKUP(C17,Operações!A:D,3,FALSE)))</f>
        <v>0</v>
      </c>
      <c r="F17" s="50">
        <f>IF(C17=0,0,IF(ISERROR(VLOOKUP(C17,Operações!A:D,4,FALSE)),0,VLOOKUP(C17,Operações!A:D,4,FALSE)))</f>
        <v>0</v>
      </c>
      <c r="G17" s="79">
        <f t="shared" si="2"/>
        <v>0</v>
      </c>
      <c r="H17" s="42"/>
      <c r="I17" s="42"/>
      <c r="J17" s="42"/>
      <c r="K17" s="42"/>
      <c r="L17" s="42"/>
      <c r="M17" s="42"/>
      <c r="N17" s="27">
        <f t="shared" si="0"/>
        <v>0</v>
      </c>
      <c r="O17" s="42"/>
      <c r="P17" s="42"/>
      <c r="Q17" s="42"/>
      <c r="R17" s="42"/>
      <c r="S17" s="42"/>
      <c r="T17" s="42"/>
      <c r="U17" s="42"/>
      <c r="V17" s="42"/>
      <c r="W17" s="42"/>
      <c r="X17" s="42"/>
    </row>
    <row r="18" spans="1:24" ht="18" customHeight="1" x14ac:dyDescent="0.25">
      <c r="A18" s="32" t="str">
        <f t="shared" si="1"/>
        <v>Não</v>
      </c>
      <c r="B18" s="10">
        <v>130</v>
      </c>
      <c r="C18" s="7"/>
      <c r="D18" s="44">
        <f>IF(C18=0,0,IF(ISERROR(VLOOKUP(C18,Operações!A:D,2,FALSE)),0,VLOOKUP(C18,Operações!A:D,2,FALSE)))</f>
        <v>0</v>
      </c>
      <c r="E18" s="44">
        <f>IF(C18=0,0,IF(ISERROR(VLOOKUP(C18,Operações!A:D,3,FALSE)),0,VLOOKUP(C18,Operações!A:D,3,FALSE)))</f>
        <v>0</v>
      </c>
      <c r="F18" s="50">
        <f>IF(C18=0,0,IF(ISERROR(VLOOKUP(C18,Operações!A:D,4,FALSE)),0,VLOOKUP(C18,Operações!A:D,4,FALSE)))</f>
        <v>0</v>
      </c>
      <c r="G18" s="79">
        <f t="shared" si="2"/>
        <v>0</v>
      </c>
      <c r="H18" s="42"/>
      <c r="I18" s="42"/>
      <c r="J18" s="42"/>
      <c r="K18" s="42"/>
      <c r="L18" s="42"/>
      <c r="M18" s="42"/>
      <c r="N18" s="27">
        <f t="shared" si="0"/>
        <v>0</v>
      </c>
      <c r="O18" s="42"/>
      <c r="P18" s="42"/>
      <c r="Q18" s="42"/>
      <c r="R18" s="42"/>
      <c r="S18" s="42"/>
      <c r="T18" s="42"/>
      <c r="U18" s="42"/>
      <c r="V18" s="42"/>
      <c r="W18" s="42"/>
      <c r="X18" s="42"/>
    </row>
    <row r="19" spans="1:24" ht="18" customHeight="1" x14ac:dyDescent="0.25">
      <c r="A19" s="32" t="str">
        <f t="shared" si="1"/>
        <v>Não</v>
      </c>
      <c r="B19" s="8">
        <v>140</v>
      </c>
      <c r="C19" s="7"/>
      <c r="D19" s="44">
        <f>IF(C19=0,0,IF(ISERROR(VLOOKUP(C19,Operações!A:D,2,FALSE)),0,VLOOKUP(C19,Operações!A:D,2,FALSE)))</f>
        <v>0</v>
      </c>
      <c r="E19" s="44">
        <f>IF(C19=0,0,IF(ISERROR(VLOOKUP(C19,Operações!A:D,3,FALSE)),0,VLOOKUP(C19,Operações!A:D,3,FALSE)))</f>
        <v>0</v>
      </c>
      <c r="F19" s="50">
        <f>IF(C19=0,0,IF(ISERROR(VLOOKUP(C19,Operações!A:D,4,FALSE)),0,VLOOKUP(C19,Operações!A:D,4,FALSE)))</f>
        <v>0</v>
      </c>
      <c r="G19" s="79">
        <f t="shared" si="2"/>
        <v>0</v>
      </c>
      <c r="H19" s="42"/>
      <c r="I19" s="42"/>
      <c r="J19" s="42"/>
      <c r="K19" s="42"/>
      <c r="L19" s="42"/>
      <c r="M19" s="42"/>
      <c r="N19" s="27">
        <f t="shared" si="0"/>
        <v>0</v>
      </c>
      <c r="O19" s="42"/>
      <c r="P19" s="42"/>
      <c r="Q19" s="42"/>
      <c r="R19" s="42"/>
      <c r="S19" s="42"/>
      <c r="T19" s="42"/>
      <c r="U19" s="42"/>
      <c r="V19" s="42"/>
      <c r="W19" s="42"/>
      <c r="X19" s="42"/>
    </row>
    <row r="20" spans="1:24" ht="18" customHeight="1" x14ac:dyDescent="0.25">
      <c r="A20" s="32" t="str">
        <f t="shared" si="1"/>
        <v>Não</v>
      </c>
      <c r="B20" s="10">
        <v>150</v>
      </c>
      <c r="C20" s="7"/>
      <c r="D20" s="44">
        <f>IF(C20=0,0,IF(ISERROR(VLOOKUP(C20,Operações!A:D,2,FALSE)),0,VLOOKUP(C20,Operações!A:D,2,FALSE)))</f>
        <v>0</v>
      </c>
      <c r="E20" s="44">
        <f>IF(C20=0,0,IF(ISERROR(VLOOKUP(C20,Operações!A:D,3,FALSE)),0,VLOOKUP(C20,Operações!A:D,3,FALSE)))</f>
        <v>0</v>
      </c>
      <c r="F20" s="50">
        <f>IF(C20=0,0,IF(ISERROR(VLOOKUP(C20,Operações!A:D,4,FALSE)),0,VLOOKUP(C20,Operações!A:D,4,FALSE)))</f>
        <v>0</v>
      </c>
      <c r="G20" s="79">
        <f t="shared" si="2"/>
        <v>0</v>
      </c>
      <c r="H20" s="42"/>
      <c r="I20" s="42"/>
      <c r="J20" s="42"/>
      <c r="K20" s="42"/>
      <c r="L20" s="42"/>
      <c r="M20" s="42"/>
      <c r="N20" s="27">
        <f t="shared" si="0"/>
        <v>0</v>
      </c>
      <c r="O20" s="42"/>
      <c r="P20" s="42"/>
      <c r="Q20" s="42"/>
      <c r="R20" s="42"/>
      <c r="S20" s="42"/>
      <c r="T20" s="42"/>
      <c r="U20" s="42"/>
      <c r="V20" s="42"/>
      <c r="W20" s="42"/>
      <c r="X20" s="42"/>
    </row>
    <row r="21" spans="1:24" ht="18" customHeight="1" x14ac:dyDescent="0.25">
      <c r="A21" s="32" t="str">
        <f t="shared" si="1"/>
        <v>Não</v>
      </c>
      <c r="B21" s="8">
        <v>160</v>
      </c>
      <c r="C21" s="7"/>
      <c r="D21" s="44">
        <f>IF(C21=0,0,IF(ISERROR(VLOOKUP(C21,Operações!A:D,2,FALSE)),0,VLOOKUP(C21,Operações!A:D,2,FALSE)))</f>
        <v>0</v>
      </c>
      <c r="E21" s="44">
        <f>IF(C21=0,0,IF(ISERROR(VLOOKUP(C21,Operações!A:D,3,FALSE)),0,VLOOKUP(C21,Operações!A:D,3,FALSE)))</f>
        <v>0</v>
      </c>
      <c r="F21" s="50">
        <f>IF(C21=0,0,IF(ISERROR(VLOOKUP(C21,Operações!A:D,4,FALSE)),0,VLOOKUP(C21,Operações!A:D,4,FALSE)))</f>
        <v>0</v>
      </c>
      <c r="G21" s="79">
        <f t="shared" si="2"/>
        <v>0</v>
      </c>
      <c r="H21" s="42"/>
      <c r="I21" s="42"/>
      <c r="J21" s="42"/>
      <c r="K21" s="42"/>
      <c r="L21" s="42"/>
      <c r="M21" s="42"/>
      <c r="N21" s="27">
        <f t="shared" si="0"/>
        <v>0</v>
      </c>
      <c r="O21" s="42"/>
      <c r="P21" s="42"/>
      <c r="Q21" s="42"/>
      <c r="R21" s="42"/>
      <c r="S21" s="42"/>
      <c r="T21" s="42"/>
      <c r="U21" s="42"/>
      <c r="V21" s="42"/>
      <c r="W21" s="42"/>
      <c r="X21" s="42"/>
    </row>
    <row r="22" spans="1:24" ht="18" customHeight="1" x14ac:dyDescent="0.25">
      <c r="A22" s="32" t="str">
        <f t="shared" si="1"/>
        <v>Não</v>
      </c>
      <c r="B22" s="10">
        <v>170</v>
      </c>
      <c r="C22" s="7"/>
      <c r="D22" s="44">
        <f>IF(C22=0,0,IF(ISERROR(VLOOKUP(C22,Operações!A:D,2,FALSE)),0,VLOOKUP(C22,Operações!A:D,2,FALSE)))</f>
        <v>0</v>
      </c>
      <c r="E22" s="44">
        <f>IF(C22=0,0,IF(ISERROR(VLOOKUP(C22,Operações!A:D,3,FALSE)),0,VLOOKUP(C22,Operações!A:D,3,FALSE)))</f>
        <v>0</v>
      </c>
      <c r="F22" s="50">
        <f>IF(C22=0,0,IF(ISERROR(VLOOKUP(C22,Operações!A:D,4,FALSE)),0,VLOOKUP(C22,Operações!A:D,4,FALSE)))</f>
        <v>0</v>
      </c>
      <c r="G22" s="79">
        <f t="shared" si="2"/>
        <v>0</v>
      </c>
      <c r="H22" s="42"/>
      <c r="I22" s="42"/>
      <c r="J22" s="42"/>
      <c r="K22" s="42"/>
      <c r="L22" s="42"/>
      <c r="M22" s="42"/>
      <c r="N22" s="27">
        <f t="shared" si="0"/>
        <v>0</v>
      </c>
      <c r="O22" s="42"/>
      <c r="P22" s="42"/>
      <c r="Q22" s="42"/>
      <c r="R22" s="42"/>
      <c r="S22" s="42"/>
      <c r="T22" s="42"/>
      <c r="U22" s="42"/>
      <c r="V22" s="42"/>
      <c r="W22" s="42"/>
      <c r="X22" s="42"/>
    </row>
    <row r="23" spans="1:24" ht="18" customHeight="1" x14ac:dyDescent="0.25">
      <c r="A23" s="32" t="str">
        <f t="shared" si="1"/>
        <v>Não</v>
      </c>
      <c r="B23" s="8">
        <v>180</v>
      </c>
      <c r="C23" s="7"/>
      <c r="D23" s="44">
        <f>IF(C23=0,0,IF(ISERROR(VLOOKUP(C23,Operações!A:D,2,FALSE)),0,VLOOKUP(C23,Operações!A:D,2,FALSE)))</f>
        <v>0</v>
      </c>
      <c r="E23" s="44">
        <f>IF(C23=0,0,IF(ISERROR(VLOOKUP(C23,Operações!A:D,3,FALSE)),0,VLOOKUP(C23,Operações!A:D,3,FALSE)))</f>
        <v>0</v>
      </c>
      <c r="F23" s="50">
        <f>IF(C23=0,0,IF(ISERROR(VLOOKUP(C23,Operações!A:D,4,FALSE)),0,VLOOKUP(C23,Operações!A:D,4,FALSE)))</f>
        <v>0</v>
      </c>
      <c r="G23" s="79">
        <f t="shared" si="2"/>
        <v>0</v>
      </c>
      <c r="H23" s="42"/>
      <c r="I23" s="42"/>
      <c r="J23" s="42"/>
      <c r="K23" s="42"/>
      <c r="L23" s="42"/>
      <c r="M23" s="42"/>
      <c r="N23" s="27">
        <f t="shared" si="0"/>
        <v>0</v>
      </c>
      <c r="O23" s="42"/>
      <c r="P23" s="42"/>
      <c r="Q23" s="42"/>
      <c r="R23" s="42"/>
      <c r="S23" s="42"/>
      <c r="T23" s="42"/>
      <c r="U23" s="42"/>
      <c r="V23" s="42"/>
      <c r="W23" s="42"/>
      <c r="X23" s="42"/>
    </row>
    <row r="24" spans="1:24" ht="18" customHeight="1" x14ac:dyDescent="0.25">
      <c r="A24" s="32" t="str">
        <f t="shared" si="1"/>
        <v>Não</v>
      </c>
      <c r="B24" s="10">
        <v>190</v>
      </c>
      <c r="C24" s="7"/>
      <c r="D24" s="44">
        <f>IF(C24=0,0,IF(ISERROR(VLOOKUP(C24,Operações!A:D,2,FALSE)),0,VLOOKUP(C24,Operações!A:D,2,FALSE)))</f>
        <v>0</v>
      </c>
      <c r="E24" s="44">
        <f>IF(C24=0,0,IF(ISERROR(VLOOKUP(C24,Operações!A:D,3,FALSE)),0,VLOOKUP(C24,Operações!A:D,3,FALSE)))</f>
        <v>0</v>
      </c>
      <c r="F24" s="50">
        <f>IF(C24=0,0,IF(ISERROR(VLOOKUP(C24,Operações!A:D,4,FALSE)),0,VLOOKUP(C24,Operações!A:D,4,FALSE)))</f>
        <v>0</v>
      </c>
      <c r="G24" s="79">
        <f t="shared" si="2"/>
        <v>0</v>
      </c>
      <c r="H24" s="42"/>
      <c r="I24" s="42"/>
      <c r="J24" s="42"/>
      <c r="K24" s="42"/>
      <c r="L24" s="42"/>
      <c r="M24" s="42"/>
      <c r="N24" s="27">
        <f t="shared" si="0"/>
        <v>0</v>
      </c>
      <c r="O24" s="42"/>
      <c r="P24" s="42"/>
      <c r="Q24" s="42"/>
      <c r="R24" s="42"/>
      <c r="S24" s="42"/>
      <c r="T24" s="42"/>
      <c r="U24" s="42"/>
      <c r="V24" s="42"/>
      <c r="W24" s="42"/>
      <c r="X24" s="42"/>
    </row>
    <row r="25" spans="1:24" ht="18" customHeight="1" x14ac:dyDescent="0.25">
      <c r="A25" s="32" t="str">
        <f t="shared" si="1"/>
        <v>Não</v>
      </c>
      <c r="B25" s="8">
        <v>200</v>
      </c>
      <c r="C25" s="7"/>
      <c r="D25" s="44">
        <f>IF(C25=0,0,IF(ISERROR(VLOOKUP(C25,Operações!A:D,2,FALSE)),0,VLOOKUP(C25,Operações!A:D,2,FALSE)))</f>
        <v>0</v>
      </c>
      <c r="E25" s="44">
        <f>IF(C25=0,0,IF(ISERROR(VLOOKUP(C25,Operações!A:D,3,FALSE)),0,VLOOKUP(C25,Operações!A:D,3,FALSE)))</f>
        <v>0</v>
      </c>
      <c r="F25" s="50">
        <f>IF(C25=0,0,IF(ISERROR(VLOOKUP(C25,Operações!A:D,4,FALSE)),0,VLOOKUP(C25,Operações!A:D,4,FALSE)))</f>
        <v>0</v>
      </c>
      <c r="G25" s="79">
        <f t="shared" si="2"/>
        <v>0</v>
      </c>
      <c r="H25" s="42"/>
      <c r="I25" s="42"/>
      <c r="J25" s="42"/>
      <c r="K25" s="42"/>
      <c r="L25" s="42"/>
      <c r="M25" s="42"/>
      <c r="N25" s="27">
        <f t="shared" si="0"/>
        <v>0</v>
      </c>
      <c r="O25" s="42"/>
      <c r="P25" s="42"/>
      <c r="Q25" s="42"/>
      <c r="R25" s="42"/>
      <c r="S25" s="42"/>
      <c r="T25" s="42"/>
      <c r="U25" s="42"/>
      <c r="V25" s="42"/>
      <c r="W25" s="42"/>
      <c r="X25" s="42"/>
    </row>
    <row r="26" spans="1:24" ht="18" customHeight="1" x14ac:dyDescent="0.25">
      <c r="A26" s="32" t="str">
        <f t="shared" si="1"/>
        <v>Não</v>
      </c>
      <c r="B26" s="10">
        <v>210</v>
      </c>
      <c r="C26" s="7"/>
      <c r="D26" s="44">
        <f>IF(C26=0,0,IF(ISERROR(VLOOKUP(C26,Operações!A:D,2,FALSE)),0,VLOOKUP(C26,Operações!A:D,2,FALSE)))</f>
        <v>0</v>
      </c>
      <c r="E26" s="44">
        <f>IF(C26=0,0,IF(ISERROR(VLOOKUP(C26,Operações!A:D,3,FALSE)),0,VLOOKUP(C26,Operações!A:D,3,FALSE)))</f>
        <v>0</v>
      </c>
      <c r="F26" s="50">
        <f>IF(C26=0,0,IF(ISERROR(VLOOKUP(C26,Operações!A:D,4,FALSE)),0,VLOOKUP(C26,Operações!A:D,4,FALSE)))</f>
        <v>0</v>
      </c>
      <c r="G26" s="79">
        <f t="shared" si="2"/>
        <v>0</v>
      </c>
      <c r="H26" s="42"/>
      <c r="I26" s="42"/>
      <c r="J26" s="42"/>
      <c r="K26" s="42"/>
      <c r="L26" s="42"/>
      <c r="M26" s="42"/>
      <c r="N26" s="27">
        <f t="shared" si="0"/>
        <v>0</v>
      </c>
      <c r="O26" s="42"/>
      <c r="P26" s="42"/>
      <c r="Q26" s="42"/>
      <c r="R26" s="42"/>
      <c r="S26" s="42"/>
      <c r="T26" s="42"/>
      <c r="U26" s="42"/>
      <c r="V26" s="42"/>
      <c r="W26" s="42"/>
      <c r="X26" s="42"/>
    </row>
    <row r="27" spans="1:24" ht="18" customHeight="1" x14ac:dyDescent="0.25">
      <c r="A27" s="32" t="str">
        <f t="shared" si="1"/>
        <v>Não</v>
      </c>
      <c r="B27" s="8">
        <v>220</v>
      </c>
      <c r="C27" s="7"/>
      <c r="D27" s="44">
        <f>IF(C27=0,0,IF(ISERROR(VLOOKUP(C27,Operações!A:D,2,FALSE)),0,VLOOKUP(C27,Operações!A:D,2,FALSE)))</f>
        <v>0</v>
      </c>
      <c r="E27" s="44">
        <f>IF(C27=0,0,IF(ISERROR(VLOOKUP(C27,Operações!A:D,3,FALSE)),0,VLOOKUP(C27,Operações!A:D,3,FALSE)))</f>
        <v>0</v>
      </c>
      <c r="F27" s="50">
        <f>IF(C27=0,0,IF(ISERROR(VLOOKUP(C27,Operações!A:D,4,FALSE)),0,VLOOKUP(C27,Operações!A:D,4,FALSE)))</f>
        <v>0</v>
      </c>
      <c r="G27" s="79">
        <f t="shared" si="2"/>
        <v>0</v>
      </c>
      <c r="H27" s="42"/>
      <c r="I27" s="42"/>
      <c r="J27" s="42"/>
      <c r="K27" s="42"/>
      <c r="L27" s="42"/>
      <c r="M27" s="42"/>
      <c r="N27" s="27">
        <f t="shared" si="0"/>
        <v>0</v>
      </c>
      <c r="O27" s="42"/>
      <c r="P27" s="42"/>
      <c r="Q27" s="42"/>
      <c r="R27" s="42"/>
      <c r="S27" s="42"/>
      <c r="T27" s="42"/>
      <c r="U27" s="42"/>
      <c r="V27" s="42"/>
      <c r="W27" s="42"/>
      <c r="X27" s="42"/>
    </row>
    <row r="28" spans="1:24" ht="18" customHeight="1" x14ac:dyDescent="0.25">
      <c r="A28" s="32" t="str">
        <f t="shared" si="1"/>
        <v>Não</v>
      </c>
      <c r="B28" s="10">
        <v>230</v>
      </c>
      <c r="C28" s="7"/>
      <c r="D28" s="44">
        <f>IF(C28=0,0,IF(ISERROR(VLOOKUP(C28,Operações!A:D,2,FALSE)),0,VLOOKUP(C28,Operações!A:D,2,FALSE)))</f>
        <v>0</v>
      </c>
      <c r="E28" s="44">
        <f>IF(C28=0,0,IF(ISERROR(VLOOKUP(C28,Operações!A:D,3,FALSE)),0,VLOOKUP(C28,Operações!A:D,3,FALSE)))</f>
        <v>0</v>
      </c>
      <c r="F28" s="50">
        <f>IF(C28=0,0,IF(ISERROR(VLOOKUP(C28,Operações!A:D,4,FALSE)),0,VLOOKUP(C28,Operações!A:D,4,FALSE)))</f>
        <v>0</v>
      </c>
      <c r="G28" s="79">
        <f t="shared" si="2"/>
        <v>0</v>
      </c>
      <c r="H28" s="42"/>
      <c r="I28" s="42"/>
      <c r="J28" s="42"/>
      <c r="K28" s="42"/>
      <c r="L28" s="42"/>
      <c r="M28" s="42"/>
      <c r="N28" s="27">
        <f t="shared" si="0"/>
        <v>0</v>
      </c>
      <c r="O28" s="42"/>
      <c r="P28" s="42"/>
      <c r="Q28" s="42"/>
      <c r="R28" s="42"/>
      <c r="S28" s="42"/>
      <c r="T28" s="42"/>
      <c r="U28" s="42"/>
      <c r="V28" s="42"/>
      <c r="W28" s="42"/>
      <c r="X28" s="42"/>
    </row>
    <row r="29" spans="1:24" ht="18" customHeight="1" x14ac:dyDescent="0.25">
      <c r="A29" s="32" t="str">
        <f t="shared" si="1"/>
        <v>Não</v>
      </c>
      <c r="B29" s="8">
        <v>240</v>
      </c>
      <c r="C29" s="7"/>
      <c r="D29" s="44">
        <f>IF(C29=0,0,IF(ISERROR(VLOOKUP(C29,Operações!A:D,2,FALSE)),0,VLOOKUP(C29,Operações!A:D,2,FALSE)))</f>
        <v>0</v>
      </c>
      <c r="E29" s="44">
        <f>IF(C29=0,0,IF(ISERROR(VLOOKUP(C29,Operações!A:D,3,FALSE)),0,VLOOKUP(C29,Operações!A:D,3,FALSE)))</f>
        <v>0</v>
      </c>
      <c r="F29" s="50">
        <f>IF(C29=0,0,IF(ISERROR(VLOOKUP(C29,Operações!A:D,4,FALSE)),0,VLOOKUP(C29,Operações!A:D,4,FALSE)))</f>
        <v>0</v>
      </c>
      <c r="G29" s="79">
        <f t="shared" si="2"/>
        <v>0</v>
      </c>
      <c r="H29" s="42"/>
      <c r="I29" s="42"/>
      <c r="J29" s="42"/>
      <c r="K29" s="42"/>
      <c r="L29" s="42"/>
      <c r="M29" s="42"/>
      <c r="N29" s="27">
        <f t="shared" si="0"/>
        <v>0</v>
      </c>
      <c r="O29" s="42"/>
      <c r="P29" s="42"/>
      <c r="Q29" s="42"/>
      <c r="R29" s="42"/>
      <c r="S29" s="42"/>
      <c r="T29" s="42"/>
      <c r="U29" s="42"/>
      <c r="V29" s="42"/>
      <c r="W29" s="42"/>
      <c r="X29" s="42"/>
    </row>
    <row r="30" spans="1:24" ht="18" customHeight="1" x14ac:dyDescent="0.25">
      <c r="A30" s="32" t="str">
        <f t="shared" si="1"/>
        <v>Não</v>
      </c>
      <c r="B30" s="10">
        <v>250</v>
      </c>
      <c r="C30" s="7"/>
      <c r="D30" s="44">
        <f>IF(C30=0,0,IF(ISERROR(VLOOKUP(C30,Operações!A:D,2,FALSE)),0,VLOOKUP(C30,Operações!A:D,2,FALSE)))</f>
        <v>0</v>
      </c>
      <c r="E30" s="44">
        <f>IF(C30=0,0,IF(ISERROR(VLOOKUP(C30,Operações!A:D,3,FALSE)),0,VLOOKUP(C30,Operações!A:D,3,FALSE)))</f>
        <v>0</v>
      </c>
      <c r="F30" s="50">
        <f>IF(C30=0,0,IF(ISERROR(VLOOKUP(C30,Operações!A:D,4,FALSE)),0,VLOOKUP(C30,Operações!A:D,4,FALSE)))</f>
        <v>0</v>
      </c>
      <c r="G30" s="79">
        <f t="shared" si="2"/>
        <v>0</v>
      </c>
      <c r="H30" s="42"/>
      <c r="I30" s="42"/>
      <c r="J30" s="42"/>
      <c r="K30" s="42"/>
      <c r="L30" s="42"/>
      <c r="M30" s="42"/>
      <c r="N30" s="27">
        <f t="shared" si="0"/>
        <v>0</v>
      </c>
      <c r="O30" s="42"/>
      <c r="P30" s="42"/>
      <c r="Q30" s="42"/>
      <c r="R30" s="42"/>
      <c r="S30" s="42"/>
      <c r="T30" s="42"/>
      <c r="U30" s="42"/>
      <c r="V30" s="42"/>
      <c r="W30" s="42"/>
      <c r="X30" s="42"/>
    </row>
    <row r="31" spans="1:24" ht="18" customHeight="1" x14ac:dyDescent="0.25">
      <c r="A31" s="32" t="str">
        <f t="shared" si="1"/>
        <v>Não</v>
      </c>
      <c r="B31" s="8">
        <v>260</v>
      </c>
      <c r="C31" s="7"/>
      <c r="D31" s="44">
        <f>IF(C31=0,0,IF(ISERROR(VLOOKUP(C31,Operações!A:D,2,FALSE)),0,VLOOKUP(C31,Operações!A:D,2,FALSE)))</f>
        <v>0</v>
      </c>
      <c r="E31" s="44">
        <f>IF(C31=0,0,IF(ISERROR(VLOOKUP(C31,Operações!A:D,3,FALSE)),0,VLOOKUP(C31,Operações!A:D,3,FALSE)))</f>
        <v>0</v>
      </c>
      <c r="F31" s="50">
        <f>IF(C31=0,0,IF(ISERROR(VLOOKUP(C31,Operações!A:D,4,FALSE)),0,VLOOKUP(C31,Operações!A:D,4,FALSE)))</f>
        <v>0</v>
      </c>
      <c r="G31" s="79">
        <f t="shared" si="2"/>
        <v>0</v>
      </c>
      <c r="H31" s="42"/>
      <c r="I31" s="42"/>
      <c r="J31" s="42"/>
      <c r="K31" s="42"/>
      <c r="L31" s="42"/>
      <c r="M31" s="42"/>
      <c r="N31" s="27">
        <f t="shared" si="0"/>
        <v>0</v>
      </c>
      <c r="O31" s="42"/>
      <c r="P31" s="42"/>
      <c r="Q31" s="42"/>
      <c r="R31" s="42"/>
      <c r="S31" s="42"/>
      <c r="T31" s="42"/>
      <c r="U31" s="42"/>
      <c r="V31" s="42"/>
      <c r="W31" s="42"/>
      <c r="X31" s="42"/>
    </row>
    <row r="32" spans="1:24" ht="18" customHeight="1" x14ac:dyDescent="0.25">
      <c r="A32" s="32" t="str">
        <f t="shared" si="1"/>
        <v>Não</v>
      </c>
      <c r="B32" s="10">
        <v>270</v>
      </c>
      <c r="C32" s="7"/>
      <c r="D32" s="44">
        <f>IF(C32=0,0,IF(ISERROR(VLOOKUP(C32,Operações!A:D,2,FALSE)),0,VLOOKUP(C32,Operações!A:D,2,FALSE)))</f>
        <v>0</v>
      </c>
      <c r="E32" s="44">
        <f>IF(C32=0,0,IF(ISERROR(VLOOKUP(C32,Operações!A:D,3,FALSE)),0,VLOOKUP(C32,Operações!A:D,3,FALSE)))</f>
        <v>0</v>
      </c>
      <c r="F32" s="50">
        <f>IF(C32=0,0,IF(ISERROR(VLOOKUP(C32,Operações!A:D,4,FALSE)),0,VLOOKUP(C32,Operações!A:D,4,FALSE)))</f>
        <v>0</v>
      </c>
      <c r="G32" s="79">
        <f t="shared" si="2"/>
        <v>0</v>
      </c>
      <c r="H32" s="42"/>
      <c r="I32" s="42"/>
      <c r="J32" s="42"/>
      <c r="K32" s="42"/>
      <c r="L32" s="42"/>
      <c r="M32" s="42"/>
      <c r="N32" s="27">
        <f t="shared" si="0"/>
        <v>0</v>
      </c>
      <c r="O32" s="42"/>
      <c r="P32" s="42"/>
      <c r="Q32" s="42"/>
      <c r="R32" s="42"/>
      <c r="S32" s="42"/>
      <c r="T32" s="42"/>
      <c r="U32" s="42"/>
      <c r="V32" s="42"/>
      <c r="W32" s="42"/>
      <c r="X32" s="42"/>
    </row>
    <row r="33" spans="1:24" ht="18" customHeight="1" x14ac:dyDescent="0.25">
      <c r="A33" s="32" t="str">
        <f t="shared" si="1"/>
        <v>Não</v>
      </c>
      <c r="B33" s="8">
        <v>280</v>
      </c>
      <c r="C33" s="7"/>
      <c r="D33" s="44">
        <f>IF(C33=0,0,IF(ISERROR(VLOOKUP(C33,Operações!A:D,2,FALSE)),0,VLOOKUP(C33,Operações!A:D,2,FALSE)))</f>
        <v>0</v>
      </c>
      <c r="E33" s="44">
        <f>IF(C33=0,0,IF(ISERROR(VLOOKUP(C33,Operações!A:D,3,FALSE)),0,VLOOKUP(C33,Operações!A:D,3,FALSE)))</f>
        <v>0</v>
      </c>
      <c r="F33" s="50">
        <f>IF(C33=0,0,IF(ISERROR(VLOOKUP(C33,Operações!A:D,4,FALSE)),0,VLOOKUP(C33,Operações!A:D,4,FALSE)))</f>
        <v>0</v>
      </c>
      <c r="G33" s="79">
        <f t="shared" si="2"/>
        <v>0</v>
      </c>
      <c r="H33" s="42"/>
      <c r="I33" s="42"/>
      <c r="J33" s="42"/>
      <c r="K33" s="42"/>
      <c r="L33" s="42"/>
      <c r="M33" s="42"/>
      <c r="N33" s="27">
        <f t="shared" si="0"/>
        <v>0</v>
      </c>
      <c r="O33" s="42"/>
      <c r="P33" s="42"/>
      <c r="Q33" s="42"/>
      <c r="R33" s="42"/>
      <c r="S33" s="42"/>
      <c r="T33" s="42"/>
      <c r="U33" s="42"/>
      <c r="V33" s="42"/>
      <c r="W33" s="42"/>
      <c r="X33" s="42"/>
    </row>
    <row r="34" spans="1:24" ht="18" customHeight="1" x14ac:dyDescent="0.25">
      <c r="A34" s="32" t="str">
        <f t="shared" si="1"/>
        <v>Não</v>
      </c>
      <c r="B34" s="10">
        <v>290</v>
      </c>
      <c r="C34" s="7"/>
      <c r="D34" s="44">
        <f>IF(C34=0,0,IF(ISERROR(VLOOKUP(C34,Operações!A:D,2,FALSE)),0,VLOOKUP(C34,Operações!A:D,2,FALSE)))</f>
        <v>0</v>
      </c>
      <c r="E34" s="44">
        <f>IF(C34=0,0,IF(ISERROR(VLOOKUP(C34,Operações!A:D,3,FALSE)),0,VLOOKUP(C34,Operações!A:D,3,FALSE)))</f>
        <v>0</v>
      </c>
      <c r="F34" s="50">
        <f>IF(C34=0,0,IF(ISERROR(VLOOKUP(C34,Operações!A:D,4,FALSE)),0,VLOOKUP(C34,Operações!A:D,4,FALSE)))</f>
        <v>0</v>
      </c>
      <c r="G34" s="79">
        <f t="shared" si="2"/>
        <v>0</v>
      </c>
      <c r="H34" s="42"/>
      <c r="I34" s="42"/>
      <c r="J34" s="42"/>
      <c r="K34" s="42"/>
      <c r="L34" s="42"/>
      <c r="M34" s="42"/>
      <c r="N34" s="27">
        <f t="shared" si="0"/>
        <v>0</v>
      </c>
      <c r="O34" s="42"/>
      <c r="P34" s="42"/>
      <c r="Q34" s="42"/>
      <c r="R34" s="42"/>
      <c r="S34" s="42"/>
      <c r="T34" s="42"/>
      <c r="U34" s="42"/>
      <c r="V34" s="42"/>
      <c r="W34" s="42"/>
      <c r="X34" s="42"/>
    </row>
    <row r="35" spans="1:24" ht="18" customHeight="1" x14ac:dyDescent="0.25">
      <c r="A35" s="32" t="str">
        <f t="shared" si="1"/>
        <v>Não</v>
      </c>
      <c r="B35" s="8">
        <v>300</v>
      </c>
      <c r="C35" s="7"/>
      <c r="D35" s="44">
        <f>IF(C35=0,0,IF(ISERROR(VLOOKUP(C35,Operações!A:D,2,FALSE)),0,VLOOKUP(C35,Operações!A:D,2,FALSE)))</f>
        <v>0</v>
      </c>
      <c r="E35" s="44">
        <f>IF(C35=0,0,IF(ISERROR(VLOOKUP(C35,Operações!A:D,3,FALSE)),0,VLOOKUP(C35,Operações!A:D,3,FALSE)))</f>
        <v>0</v>
      </c>
      <c r="F35" s="50">
        <f>IF(C35=0,0,IF(ISERROR(VLOOKUP(C35,Operações!A:D,4,FALSE)),0,VLOOKUP(C35,Operações!A:D,4,FALSE)))</f>
        <v>0</v>
      </c>
      <c r="G35" s="79">
        <f t="shared" si="2"/>
        <v>0</v>
      </c>
      <c r="H35" s="42"/>
      <c r="I35" s="42"/>
      <c r="J35" s="42"/>
      <c r="K35" s="42"/>
      <c r="L35" s="42"/>
      <c r="M35" s="42"/>
      <c r="N35" s="27">
        <f t="shared" si="0"/>
        <v>0</v>
      </c>
      <c r="O35" s="42"/>
      <c r="P35" s="42"/>
      <c r="Q35" s="42"/>
      <c r="R35" s="42"/>
      <c r="S35" s="42"/>
      <c r="T35" s="42"/>
      <c r="U35" s="42"/>
      <c r="V35" s="42"/>
      <c r="W35" s="42"/>
      <c r="X35" s="42"/>
    </row>
    <row r="36" spans="1:24" ht="18" customHeight="1" x14ac:dyDescent="0.25">
      <c r="A36" s="32" t="str">
        <f t="shared" si="1"/>
        <v>Não</v>
      </c>
      <c r="B36" s="10">
        <v>310</v>
      </c>
      <c r="C36" s="7"/>
      <c r="D36" s="44">
        <f>IF(C36=0,0,IF(ISERROR(VLOOKUP(C36,Operações!A:D,2,FALSE)),0,VLOOKUP(C36,Operações!A:D,2,FALSE)))</f>
        <v>0</v>
      </c>
      <c r="E36" s="44">
        <f>IF(C36=0,0,IF(ISERROR(VLOOKUP(C36,Operações!A:D,3,FALSE)),0,VLOOKUP(C36,Operações!A:D,3,FALSE)))</f>
        <v>0</v>
      </c>
      <c r="F36" s="50">
        <f>IF(C36=0,0,IF(ISERROR(VLOOKUP(C36,Operações!A:D,4,FALSE)),0,VLOOKUP(C36,Operações!A:D,4,FALSE)))</f>
        <v>0</v>
      </c>
      <c r="G36" s="79">
        <f t="shared" si="2"/>
        <v>0</v>
      </c>
      <c r="H36" s="42"/>
      <c r="I36" s="42"/>
      <c r="J36" s="42"/>
      <c r="K36" s="42"/>
      <c r="L36" s="42"/>
      <c r="M36" s="42"/>
      <c r="N36" s="27">
        <f t="shared" si="0"/>
        <v>0</v>
      </c>
      <c r="O36" s="42"/>
      <c r="P36" s="42"/>
      <c r="Q36" s="42"/>
      <c r="R36" s="42"/>
      <c r="S36" s="42"/>
      <c r="T36" s="42"/>
      <c r="U36" s="42"/>
      <c r="V36" s="42"/>
      <c r="W36" s="42"/>
      <c r="X36" s="42"/>
    </row>
    <row r="37" spans="1:24" ht="18" customHeight="1" x14ac:dyDescent="0.25">
      <c r="A37" s="32" t="str">
        <f t="shared" si="1"/>
        <v>Não</v>
      </c>
      <c r="B37" s="8">
        <v>320</v>
      </c>
      <c r="C37" s="7"/>
      <c r="D37" s="44">
        <f>IF(C37=0,0,IF(ISERROR(VLOOKUP(C37,Operações!A:D,2,FALSE)),0,VLOOKUP(C37,Operações!A:D,2,FALSE)))</f>
        <v>0</v>
      </c>
      <c r="E37" s="44">
        <f>IF(C37=0,0,IF(ISERROR(VLOOKUP(C37,Operações!A:D,3,FALSE)),0,VLOOKUP(C37,Operações!A:D,3,FALSE)))</f>
        <v>0</v>
      </c>
      <c r="F37" s="50">
        <f>IF(C37=0,0,IF(ISERROR(VLOOKUP(C37,Operações!A:D,4,FALSE)),0,VLOOKUP(C37,Operações!A:D,4,FALSE)))</f>
        <v>0</v>
      </c>
      <c r="G37" s="79">
        <f t="shared" si="2"/>
        <v>0</v>
      </c>
      <c r="H37" s="42"/>
      <c r="I37" s="42"/>
      <c r="J37" s="42"/>
      <c r="K37" s="42"/>
      <c r="L37" s="42"/>
      <c r="M37" s="42"/>
      <c r="N37" s="27">
        <f t="shared" si="0"/>
        <v>0</v>
      </c>
      <c r="O37" s="42"/>
      <c r="P37" s="42"/>
      <c r="Q37" s="42"/>
      <c r="R37" s="42"/>
      <c r="S37" s="42"/>
      <c r="T37" s="42"/>
      <c r="U37" s="42"/>
      <c r="V37" s="42"/>
      <c r="W37" s="42"/>
      <c r="X37" s="42"/>
    </row>
    <row r="38" spans="1:24" ht="18" customHeight="1" x14ac:dyDescent="0.25">
      <c r="A38" s="32" t="str">
        <f t="shared" si="1"/>
        <v>Não</v>
      </c>
      <c r="B38" s="10">
        <v>330</v>
      </c>
      <c r="C38" s="7"/>
      <c r="D38" s="44">
        <f>IF(C38=0,0,IF(ISERROR(VLOOKUP(C38,Operações!A:D,2,FALSE)),0,VLOOKUP(C38,Operações!A:D,2,FALSE)))</f>
        <v>0</v>
      </c>
      <c r="E38" s="44">
        <f>IF(C38=0,0,IF(ISERROR(VLOOKUP(C38,Operações!A:D,3,FALSE)),0,VLOOKUP(C38,Operações!A:D,3,FALSE)))</f>
        <v>0</v>
      </c>
      <c r="F38" s="50">
        <f>IF(C38=0,0,IF(ISERROR(VLOOKUP(C38,Operações!A:D,4,FALSE)),0,VLOOKUP(C38,Operações!A:D,4,FALSE)))</f>
        <v>0</v>
      </c>
      <c r="G38" s="79">
        <f t="shared" si="2"/>
        <v>0</v>
      </c>
      <c r="H38" s="42"/>
      <c r="I38" s="42"/>
      <c r="J38" s="42"/>
      <c r="K38" s="42"/>
      <c r="L38" s="42"/>
      <c r="M38" s="42"/>
      <c r="N38" s="27">
        <f t="shared" ref="N38:N69" si="3">IF(C38=0,0,IF(AND(D38&lt;&gt;0,F38&lt;&gt;0),0,1))</f>
        <v>0</v>
      </c>
      <c r="O38" s="42"/>
      <c r="P38" s="42"/>
      <c r="Q38" s="42"/>
      <c r="R38" s="42"/>
      <c r="S38" s="42"/>
      <c r="T38" s="42"/>
      <c r="U38" s="42"/>
      <c r="V38" s="42"/>
      <c r="W38" s="42"/>
      <c r="X38" s="42"/>
    </row>
    <row r="39" spans="1:24" ht="18" customHeight="1" x14ac:dyDescent="0.25">
      <c r="A39" s="32" t="str">
        <f t="shared" si="1"/>
        <v>Não</v>
      </c>
      <c r="B39" s="8">
        <v>340</v>
      </c>
      <c r="C39" s="7"/>
      <c r="D39" s="44">
        <f>IF(C39=0,0,IF(ISERROR(VLOOKUP(C39,Operações!A:D,2,FALSE)),0,VLOOKUP(C39,Operações!A:D,2,FALSE)))</f>
        <v>0</v>
      </c>
      <c r="E39" s="44">
        <f>IF(C39=0,0,IF(ISERROR(VLOOKUP(C39,Operações!A:D,3,FALSE)),0,VLOOKUP(C39,Operações!A:D,3,FALSE)))</f>
        <v>0</v>
      </c>
      <c r="F39" s="50">
        <f>IF(C39=0,0,IF(ISERROR(VLOOKUP(C39,Operações!A:D,4,FALSE)),0,VLOOKUP(C39,Operações!A:D,4,FALSE)))</f>
        <v>0</v>
      </c>
      <c r="G39" s="79">
        <f t="shared" si="2"/>
        <v>0</v>
      </c>
      <c r="H39" s="42"/>
      <c r="I39" s="42"/>
      <c r="J39" s="42"/>
      <c r="K39" s="42"/>
      <c r="L39" s="42"/>
      <c r="M39" s="42"/>
      <c r="N39" s="27">
        <f t="shared" si="3"/>
        <v>0</v>
      </c>
      <c r="O39" s="42"/>
      <c r="P39" s="42"/>
      <c r="Q39" s="42"/>
      <c r="R39" s="42"/>
      <c r="S39" s="42"/>
      <c r="T39" s="42"/>
      <c r="U39" s="42"/>
      <c r="V39" s="42"/>
      <c r="W39" s="42"/>
      <c r="X39" s="42"/>
    </row>
    <row r="40" spans="1:24" ht="18" customHeight="1" x14ac:dyDescent="0.25">
      <c r="A40" s="32" t="str">
        <f t="shared" si="1"/>
        <v>Não</v>
      </c>
      <c r="B40" s="10">
        <v>350</v>
      </c>
      <c r="C40" s="7"/>
      <c r="D40" s="44">
        <f>IF(C40=0,0,IF(ISERROR(VLOOKUP(C40,Operações!A:D,2,FALSE)),0,VLOOKUP(C40,Operações!A:D,2,FALSE)))</f>
        <v>0</v>
      </c>
      <c r="E40" s="44">
        <f>IF(C40=0,0,IF(ISERROR(VLOOKUP(C40,Operações!A:D,3,FALSE)),0,VLOOKUP(C40,Operações!A:D,3,FALSE)))</f>
        <v>0</v>
      </c>
      <c r="F40" s="50">
        <f>IF(C40=0,0,IF(ISERROR(VLOOKUP(C40,Operações!A:D,4,FALSE)),0,VLOOKUP(C40,Operações!A:D,4,FALSE)))</f>
        <v>0</v>
      </c>
      <c r="G40" s="79">
        <f t="shared" si="2"/>
        <v>0</v>
      </c>
      <c r="H40" s="42"/>
      <c r="I40" s="42"/>
      <c r="J40" s="42"/>
      <c r="K40" s="42"/>
      <c r="L40" s="42"/>
      <c r="M40" s="42"/>
      <c r="N40" s="27">
        <f t="shared" si="3"/>
        <v>0</v>
      </c>
      <c r="O40" s="42"/>
      <c r="P40" s="42"/>
      <c r="Q40" s="42"/>
      <c r="R40" s="42"/>
      <c r="S40" s="42"/>
      <c r="T40" s="42"/>
      <c r="U40" s="42"/>
      <c r="V40" s="42"/>
      <c r="W40" s="42"/>
      <c r="X40" s="42"/>
    </row>
    <row r="41" spans="1:24" ht="18" customHeight="1" x14ac:dyDescent="0.25">
      <c r="A41" s="32" t="str">
        <f t="shared" si="1"/>
        <v>Não</v>
      </c>
      <c r="B41" s="8">
        <v>360</v>
      </c>
      <c r="C41" s="7"/>
      <c r="D41" s="44">
        <f>IF(C41=0,0,IF(ISERROR(VLOOKUP(C41,Operações!A:D,2,FALSE)),0,VLOOKUP(C41,Operações!A:D,2,FALSE)))</f>
        <v>0</v>
      </c>
      <c r="E41" s="44">
        <f>IF(C41=0,0,IF(ISERROR(VLOOKUP(C41,Operações!A:D,3,FALSE)),0,VLOOKUP(C41,Operações!A:D,3,FALSE)))</f>
        <v>0</v>
      </c>
      <c r="F41" s="50">
        <f>IF(C41=0,0,IF(ISERROR(VLOOKUP(C41,Operações!A:D,4,FALSE)),0,VLOOKUP(C41,Operações!A:D,4,FALSE)))</f>
        <v>0</v>
      </c>
      <c r="G41" s="79">
        <f t="shared" si="2"/>
        <v>0</v>
      </c>
      <c r="H41" s="42"/>
      <c r="I41" s="42"/>
      <c r="J41" s="42"/>
      <c r="K41" s="42"/>
      <c r="L41" s="42"/>
      <c r="M41" s="42"/>
      <c r="N41" s="27">
        <f t="shared" si="3"/>
        <v>0</v>
      </c>
      <c r="O41" s="42"/>
      <c r="P41" s="42"/>
      <c r="Q41" s="42"/>
      <c r="R41" s="42"/>
      <c r="S41" s="42"/>
      <c r="T41" s="42"/>
      <c r="U41" s="42"/>
      <c r="V41" s="42"/>
      <c r="W41" s="42"/>
      <c r="X41" s="42"/>
    </row>
    <row r="42" spans="1:24" ht="18" customHeight="1" x14ac:dyDescent="0.25">
      <c r="A42" s="32" t="str">
        <f t="shared" si="1"/>
        <v>Não</v>
      </c>
      <c r="B42" s="10">
        <v>370</v>
      </c>
      <c r="C42" s="7"/>
      <c r="D42" s="44">
        <f>IF(C42=0,0,IF(ISERROR(VLOOKUP(C42,Operações!A:D,2,FALSE)),0,VLOOKUP(C42,Operações!A:D,2,FALSE)))</f>
        <v>0</v>
      </c>
      <c r="E42" s="44">
        <f>IF(C42=0,0,IF(ISERROR(VLOOKUP(C42,Operações!A:D,3,FALSE)),0,VLOOKUP(C42,Operações!A:D,3,FALSE)))</f>
        <v>0</v>
      </c>
      <c r="F42" s="50">
        <f>IF(C42=0,0,IF(ISERROR(VLOOKUP(C42,Operações!A:D,4,FALSE)),0,VLOOKUP(C42,Operações!A:D,4,FALSE)))</f>
        <v>0</v>
      </c>
      <c r="G42" s="79">
        <f t="shared" si="2"/>
        <v>0</v>
      </c>
      <c r="H42" s="42"/>
      <c r="I42" s="42"/>
      <c r="J42" s="42"/>
      <c r="K42" s="42"/>
      <c r="L42" s="42"/>
      <c r="M42" s="42"/>
      <c r="N42" s="27">
        <f t="shared" si="3"/>
        <v>0</v>
      </c>
      <c r="O42" s="42"/>
      <c r="P42" s="42"/>
      <c r="Q42" s="42"/>
      <c r="R42" s="42"/>
      <c r="S42" s="42"/>
      <c r="T42" s="42"/>
      <c r="U42" s="42"/>
      <c r="V42" s="42"/>
      <c r="W42" s="42"/>
      <c r="X42" s="42"/>
    </row>
    <row r="43" spans="1:24" ht="18" customHeight="1" x14ac:dyDescent="0.25">
      <c r="A43" s="32" t="str">
        <f t="shared" si="1"/>
        <v>Não</v>
      </c>
      <c r="B43" s="8">
        <v>380</v>
      </c>
      <c r="C43" s="7"/>
      <c r="D43" s="44">
        <f>IF(C43=0,0,IF(ISERROR(VLOOKUP(C43,Operações!A:D,2,FALSE)),0,VLOOKUP(C43,Operações!A:D,2,FALSE)))</f>
        <v>0</v>
      </c>
      <c r="E43" s="44">
        <f>IF(C43=0,0,IF(ISERROR(VLOOKUP(C43,Operações!A:D,3,FALSE)),0,VLOOKUP(C43,Operações!A:D,3,FALSE)))</f>
        <v>0</v>
      </c>
      <c r="F43" s="50">
        <f>IF(C43=0,0,IF(ISERROR(VLOOKUP(C43,Operações!A:D,4,FALSE)),0,VLOOKUP(C43,Operações!A:D,4,FALSE)))</f>
        <v>0</v>
      </c>
      <c r="G43" s="79">
        <f t="shared" si="2"/>
        <v>0</v>
      </c>
      <c r="H43" s="42"/>
      <c r="I43" s="42"/>
      <c r="J43" s="42"/>
      <c r="K43" s="42"/>
      <c r="L43" s="42"/>
      <c r="M43" s="42"/>
      <c r="N43" s="27">
        <f t="shared" si="3"/>
        <v>0</v>
      </c>
      <c r="O43" s="42"/>
      <c r="P43" s="42"/>
      <c r="Q43" s="42"/>
      <c r="R43" s="42"/>
      <c r="S43" s="42"/>
      <c r="T43" s="42"/>
      <c r="U43" s="42"/>
      <c r="V43" s="42"/>
      <c r="W43" s="42"/>
      <c r="X43" s="42"/>
    </row>
    <row r="44" spans="1:24" ht="18" customHeight="1" x14ac:dyDescent="0.25">
      <c r="A44" s="32" t="str">
        <f t="shared" si="1"/>
        <v>Não</v>
      </c>
      <c r="B44" s="10">
        <v>390</v>
      </c>
      <c r="C44" s="7"/>
      <c r="D44" s="44">
        <f>IF(C44=0,0,IF(ISERROR(VLOOKUP(C44,Operações!A:D,2,FALSE)),0,VLOOKUP(C44,Operações!A:D,2,FALSE)))</f>
        <v>0</v>
      </c>
      <c r="E44" s="44">
        <f>IF(C44=0,0,IF(ISERROR(VLOOKUP(C44,Operações!A:D,3,FALSE)),0,VLOOKUP(C44,Operações!A:D,3,FALSE)))</f>
        <v>0</v>
      </c>
      <c r="F44" s="50">
        <f>IF(C44=0,0,IF(ISERROR(VLOOKUP(C44,Operações!A:D,4,FALSE)),0,VLOOKUP(C44,Operações!A:D,4,FALSE)))</f>
        <v>0</v>
      </c>
      <c r="G44" s="79">
        <f t="shared" si="2"/>
        <v>0</v>
      </c>
      <c r="H44" s="42"/>
      <c r="I44" s="42"/>
      <c r="J44" s="42"/>
      <c r="K44" s="42"/>
      <c r="L44" s="42"/>
      <c r="M44" s="42"/>
      <c r="N44" s="27">
        <f t="shared" si="3"/>
        <v>0</v>
      </c>
      <c r="O44" s="42"/>
      <c r="P44" s="42"/>
      <c r="Q44" s="42"/>
      <c r="R44" s="42"/>
      <c r="S44" s="42"/>
      <c r="T44" s="42"/>
      <c r="U44" s="42"/>
      <c r="V44" s="42"/>
      <c r="W44" s="42"/>
      <c r="X44" s="42"/>
    </row>
    <row r="45" spans="1:24" ht="18" customHeight="1" x14ac:dyDescent="0.25">
      <c r="A45" s="32" t="str">
        <f t="shared" si="1"/>
        <v>Não</v>
      </c>
      <c r="B45" s="8">
        <v>400</v>
      </c>
      <c r="C45" s="7"/>
      <c r="D45" s="44">
        <f>IF(C45=0,0,IF(ISERROR(VLOOKUP(C45,Operações!A:D,2,FALSE)),0,VLOOKUP(C45,Operações!A:D,2,FALSE)))</f>
        <v>0</v>
      </c>
      <c r="E45" s="44">
        <f>IF(C45=0,0,IF(ISERROR(VLOOKUP(C45,Operações!A:D,3,FALSE)),0,VLOOKUP(C45,Operações!A:D,3,FALSE)))</f>
        <v>0</v>
      </c>
      <c r="F45" s="50">
        <f>IF(C45=0,0,IF(ISERROR(VLOOKUP(C45,Operações!A:D,4,FALSE)),0,VLOOKUP(C45,Operações!A:D,4,FALSE)))</f>
        <v>0</v>
      </c>
      <c r="G45" s="79">
        <f t="shared" si="2"/>
        <v>0</v>
      </c>
      <c r="H45" s="42"/>
      <c r="I45" s="42"/>
      <c r="J45" s="42"/>
      <c r="K45" s="42"/>
      <c r="L45" s="42"/>
      <c r="M45" s="42"/>
      <c r="N45" s="27">
        <f t="shared" si="3"/>
        <v>0</v>
      </c>
      <c r="O45" s="42"/>
      <c r="P45" s="42"/>
      <c r="Q45" s="42"/>
      <c r="R45" s="42"/>
      <c r="S45" s="42"/>
      <c r="T45" s="42"/>
      <c r="U45" s="42"/>
      <c r="V45" s="42"/>
      <c r="W45" s="42"/>
      <c r="X45" s="42"/>
    </row>
    <row r="46" spans="1:24" ht="18" customHeight="1" x14ac:dyDescent="0.25">
      <c r="A46" s="32" t="str">
        <f t="shared" si="1"/>
        <v>Não</v>
      </c>
      <c r="B46" s="10">
        <v>410</v>
      </c>
      <c r="C46" s="7"/>
      <c r="D46" s="44">
        <f>IF(C46=0,0,IF(ISERROR(VLOOKUP(C46,Operações!A:D,2,FALSE)),0,VLOOKUP(C46,Operações!A:D,2,FALSE)))</f>
        <v>0</v>
      </c>
      <c r="E46" s="44">
        <f>IF(C46=0,0,IF(ISERROR(VLOOKUP(C46,Operações!A:D,3,FALSE)),0,VLOOKUP(C46,Operações!A:D,3,FALSE)))</f>
        <v>0</v>
      </c>
      <c r="F46" s="50">
        <f>IF(C46=0,0,IF(ISERROR(VLOOKUP(C46,Operações!A:D,4,FALSE)),0,VLOOKUP(C46,Operações!A:D,4,FALSE)))</f>
        <v>0</v>
      </c>
      <c r="G46" s="79">
        <f t="shared" si="2"/>
        <v>0</v>
      </c>
      <c r="H46" s="42"/>
      <c r="I46" s="42"/>
      <c r="J46" s="42"/>
      <c r="K46" s="42"/>
      <c r="L46" s="42"/>
      <c r="M46" s="42"/>
      <c r="N46" s="27">
        <f t="shared" si="3"/>
        <v>0</v>
      </c>
      <c r="O46" s="42"/>
      <c r="P46" s="42"/>
      <c r="Q46" s="42"/>
      <c r="R46" s="42"/>
      <c r="S46" s="42"/>
      <c r="T46" s="42"/>
      <c r="U46" s="42"/>
      <c r="V46" s="42"/>
      <c r="W46" s="42"/>
      <c r="X46" s="42"/>
    </row>
    <row r="47" spans="1:24" ht="18" customHeight="1" x14ac:dyDescent="0.25">
      <c r="A47" s="32" t="str">
        <f t="shared" si="1"/>
        <v>Não</v>
      </c>
      <c r="B47" s="8">
        <v>420</v>
      </c>
      <c r="C47" s="7"/>
      <c r="D47" s="44">
        <f>IF(C47=0,0,IF(ISERROR(VLOOKUP(C47,Operações!A:D,2,FALSE)),0,VLOOKUP(C47,Operações!A:D,2,FALSE)))</f>
        <v>0</v>
      </c>
      <c r="E47" s="44">
        <f>IF(C47=0,0,IF(ISERROR(VLOOKUP(C47,Operações!A:D,3,FALSE)),0,VLOOKUP(C47,Operações!A:D,3,FALSE)))</f>
        <v>0</v>
      </c>
      <c r="F47" s="50">
        <f>IF(C47=0,0,IF(ISERROR(VLOOKUP(C47,Operações!A:D,4,FALSE)),0,VLOOKUP(C47,Operações!A:D,4,FALSE)))</f>
        <v>0</v>
      </c>
      <c r="G47" s="79">
        <f t="shared" si="2"/>
        <v>0</v>
      </c>
      <c r="H47" s="42"/>
      <c r="I47" s="42"/>
      <c r="J47" s="42"/>
      <c r="K47" s="42"/>
      <c r="L47" s="42"/>
      <c r="M47" s="42"/>
      <c r="N47" s="27">
        <f t="shared" si="3"/>
        <v>0</v>
      </c>
      <c r="O47" s="42"/>
      <c r="P47" s="42"/>
      <c r="Q47" s="42"/>
      <c r="R47" s="42"/>
      <c r="S47" s="42"/>
      <c r="T47" s="42"/>
      <c r="U47" s="42"/>
      <c r="V47" s="42"/>
      <c r="W47" s="42"/>
      <c r="X47" s="42"/>
    </row>
    <row r="48" spans="1:24" ht="18" customHeight="1" x14ac:dyDescent="0.25">
      <c r="A48" s="32" t="str">
        <f t="shared" si="1"/>
        <v>Não</v>
      </c>
      <c r="B48" s="10">
        <v>430</v>
      </c>
      <c r="C48" s="7"/>
      <c r="D48" s="44">
        <f>IF(C48=0,0,IF(ISERROR(VLOOKUP(C48,Operações!A:D,2,FALSE)),0,VLOOKUP(C48,Operações!A:D,2,FALSE)))</f>
        <v>0</v>
      </c>
      <c r="E48" s="44">
        <f>IF(C48=0,0,IF(ISERROR(VLOOKUP(C48,Operações!A:D,3,FALSE)),0,VLOOKUP(C48,Operações!A:D,3,FALSE)))</f>
        <v>0</v>
      </c>
      <c r="F48" s="50">
        <f>IF(C48=0,0,IF(ISERROR(VLOOKUP(C48,Operações!A:D,4,FALSE)),0,VLOOKUP(C48,Operações!A:D,4,FALSE)))</f>
        <v>0</v>
      </c>
      <c r="G48" s="79">
        <f t="shared" si="2"/>
        <v>0</v>
      </c>
      <c r="H48" s="42"/>
      <c r="I48" s="42"/>
      <c r="J48" s="42"/>
      <c r="K48" s="42"/>
      <c r="L48" s="42"/>
      <c r="M48" s="42"/>
      <c r="N48" s="27">
        <f t="shared" si="3"/>
        <v>0</v>
      </c>
      <c r="O48" s="42"/>
      <c r="P48" s="42"/>
      <c r="Q48" s="42"/>
      <c r="R48" s="42"/>
      <c r="S48" s="42"/>
      <c r="T48" s="42"/>
      <c r="U48" s="42"/>
      <c r="V48" s="42"/>
      <c r="W48" s="42"/>
      <c r="X48" s="42"/>
    </row>
    <row r="49" spans="1:24" ht="18" customHeight="1" x14ac:dyDescent="0.25">
      <c r="A49" s="32" t="str">
        <f t="shared" si="1"/>
        <v>Não</v>
      </c>
      <c r="B49" s="8">
        <v>440</v>
      </c>
      <c r="C49" s="7"/>
      <c r="D49" s="44">
        <f>IF(C49=0,0,IF(ISERROR(VLOOKUP(C49,Operações!A:D,2,FALSE)),0,VLOOKUP(C49,Operações!A:D,2,FALSE)))</f>
        <v>0</v>
      </c>
      <c r="E49" s="44">
        <f>IF(C49=0,0,IF(ISERROR(VLOOKUP(C49,Operações!A:D,3,FALSE)),0,VLOOKUP(C49,Operações!A:D,3,FALSE)))</f>
        <v>0</v>
      </c>
      <c r="F49" s="50">
        <f>IF(C49=0,0,IF(ISERROR(VLOOKUP(C49,Operações!A:D,4,FALSE)),0,VLOOKUP(C49,Operações!A:D,4,FALSE)))</f>
        <v>0</v>
      </c>
      <c r="G49" s="79">
        <f t="shared" si="2"/>
        <v>0</v>
      </c>
      <c r="H49" s="42"/>
      <c r="I49" s="42"/>
      <c r="J49" s="42"/>
      <c r="K49" s="42"/>
      <c r="L49" s="42"/>
      <c r="M49" s="42"/>
      <c r="N49" s="27">
        <f t="shared" si="3"/>
        <v>0</v>
      </c>
      <c r="O49" s="42"/>
      <c r="P49" s="42"/>
      <c r="Q49" s="42"/>
      <c r="R49" s="42"/>
      <c r="S49" s="42"/>
      <c r="T49" s="42"/>
      <c r="U49" s="42"/>
      <c r="V49" s="42"/>
      <c r="W49" s="42"/>
      <c r="X49" s="42"/>
    </row>
    <row r="50" spans="1:24" ht="18" customHeight="1" x14ac:dyDescent="0.25">
      <c r="A50" s="32" t="str">
        <f t="shared" si="1"/>
        <v>Não</v>
      </c>
      <c r="B50" s="10">
        <v>450</v>
      </c>
      <c r="C50" s="7"/>
      <c r="D50" s="44">
        <f>IF(C50=0,0,IF(ISERROR(VLOOKUP(C50,Operações!A:D,2,FALSE)),0,VLOOKUP(C50,Operações!A:D,2,FALSE)))</f>
        <v>0</v>
      </c>
      <c r="E50" s="44">
        <f>IF(C50=0,0,IF(ISERROR(VLOOKUP(C50,Operações!A:D,3,FALSE)),0,VLOOKUP(C50,Operações!A:D,3,FALSE)))</f>
        <v>0</v>
      </c>
      <c r="F50" s="50">
        <f>IF(C50=0,0,IF(ISERROR(VLOOKUP(C50,Operações!A:D,4,FALSE)),0,VLOOKUP(C50,Operações!A:D,4,FALSE)))</f>
        <v>0</v>
      </c>
      <c r="G50" s="79">
        <f t="shared" si="2"/>
        <v>0</v>
      </c>
      <c r="H50" s="42"/>
      <c r="I50" s="42"/>
      <c r="J50" s="42"/>
      <c r="K50" s="42"/>
      <c r="L50" s="42"/>
      <c r="M50" s="42"/>
      <c r="N50" s="27">
        <f t="shared" si="3"/>
        <v>0</v>
      </c>
      <c r="O50" s="42"/>
      <c r="P50" s="42"/>
      <c r="Q50" s="42"/>
      <c r="R50" s="42"/>
      <c r="S50" s="42"/>
      <c r="T50" s="42"/>
      <c r="U50" s="42"/>
      <c r="V50" s="42"/>
      <c r="W50" s="42"/>
      <c r="X50" s="42"/>
    </row>
    <row r="51" spans="1:24" ht="18" customHeight="1" x14ac:dyDescent="0.25">
      <c r="A51" s="32" t="str">
        <f t="shared" si="1"/>
        <v>Não</v>
      </c>
      <c r="B51" s="8">
        <v>460</v>
      </c>
      <c r="C51" s="7"/>
      <c r="D51" s="44">
        <f>IF(C51=0,0,IF(ISERROR(VLOOKUP(C51,Operações!A:D,2,FALSE)),0,VLOOKUP(C51,Operações!A:D,2,FALSE)))</f>
        <v>0</v>
      </c>
      <c r="E51" s="44">
        <f>IF(C51=0,0,IF(ISERROR(VLOOKUP(C51,Operações!A:D,3,FALSE)),0,VLOOKUP(C51,Operações!A:D,3,FALSE)))</f>
        <v>0</v>
      </c>
      <c r="F51" s="50">
        <f>IF(C51=0,0,IF(ISERROR(VLOOKUP(C51,Operações!A:D,4,FALSE)),0,VLOOKUP(C51,Operações!A:D,4,FALSE)))</f>
        <v>0</v>
      </c>
      <c r="G51" s="79">
        <f t="shared" si="2"/>
        <v>0</v>
      </c>
      <c r="H51" s="42"/>
      <c r="I51" s="42"/>
      <c r="J51" s="42"/>
      <c r="K51" s="42"/>
      <c r="L51" s="42"/>
      <c r="M51" s="42"/>
      <c r="N51" s="27">
        <f t="shared" si="3"/>
        <v>0</v>
      </c>
      <c r="O51" s="42"/>
      <c r="P51" s="42"/>
      <c r="Q51" s="42"/>
      <c r="R51" s="42"/>
      <c r="S51" s="42"/>
      <c r="T51" s="42"/>
      <c r="U51" s="42"/>
      <c r="V51" s="42"/>
      <c r="W51" s="42"/>
      <c r="X51" s="42"/>
    </row>
    <row r="52" spans="1:24" ht="18" customHeight="1" x14ac:dyDescent="0.25">
      <c r="A52" s="32" t="str">
        <f t="shared" si="1"/>
        <v>Não</v>
      </c>
      <c r="B52" s="10">
        <v>470</v>
      </c>
      <c r="C52" s="7"/>
      <c r="D52" s="44">
        <f>IF(C52=0,0,IF(ISERROR(VLOOKUP(C52,Operações!A:D,2,FALSE)),0,VLOOKUP(C52,Operações!A:D,2,FALSE)))</f>
        <v>0</v>
      </c>
      <c r="E52" s="44">
        <f>IF(C52=0,0,IF(ISERROR(VLOOKUP(C52,Operações!A:D,3,FALSE)),0,VLOOKUP(C52,Operações!A:D,3,FALSE)))</f>
        <v>0</v>
      </c>
      <c r="F52" s="50">
        <f>IF(C52=0,0,IF(ISERROR(VLOOKUP(C52,Operações!A:D,4,FALSE)),0,VLOOKUP(C52,Operações!A:D,4,FALSE)))</f>
        <v>0</v>
      </c>
      <c r="G52" s="79">
        <f t="shared" si="2"/>
        <v>0</v>
      </c>
      <c r="H52" s="42"/>
      <c r="I52" s="42"/>
      <c r="J52" s="42"/>
      <c r="K52" s="42"/>
      <c r="L52" s="42"/>
      <c r="M52" s="42"/>
      <c r="N52" s="27">
        <f t="shared" si="3"/>
        <v>0</v>
      </c>
      <c r="O52" s="42"/>
      <c r="P52" s="42"/>
      <c r="Q52" s="42"/>
      <c r="R52" s="42"/>
      <c r="S52" s="42"/>
      <c r="T52" s="42"/>
      <c r="U52" s="42"/>
      <c r="V52" s="42"/>
      <c r="W52" s="42"/>
      <c r="X52" s="42"/>
    </row>
    <row r="53" spans="1:24" ht="18" customHeight="1" x14ac:dyDescent="0.25">
      <c r="A53" s="32" t="str">
        <f t="shared" si="1"/>
        <v>Não</v>
      </c>
      <c r="B53" s="8">
        <v>480</v>
      </c>
      <c r="C53" s="7"/>
      <c r="D53" s="44">
        <f>IF(C53=0,0,IF(ISERROR(VLOOKUP(C53,Operações!A:D,2,FALSE)),0,VLOOKUP(C53,Operações!A:D,2,FALSE)))</f>
        <v>0</v>
      </c>
      <c r="E53" s="44">
        <f>IF(C53=0,0,IF(ISERROR(VLOOKUP(C53,Operações!A:D,3,FALSE)),0,VLOOKUP(C53,Operações!A:D,3,FALSE)))</f>
        <v>0</v>
      </c>
      <c r="F53" s="50">
        <f>IF(C53=0,0,IF(ISERROR(VLOOKUP(C53,Operações!A:D,4,FALSE)),0,VLOOKUP(C53,Operações!A:D,4,FALSE)))</f>
        <v>0</v>
      </c>
      <c r="G53" s="79">
        <f t="shared" si="2"/>
        <v>0</v>
      </c>
      <c r="H53" s="42"/>
      <c r="I53" s="42"/>
      <c r="J53" s="42"/>
      <c r="K53" s="42"/>
      <c r="L53" s="42"/>
      <c r="M53" s="42"/>
      <c r="N53" s="27">
        <f t="shared" si="3"/>
        <v>0</v>
      </c>
      <c r="O53" s="42"/>
      <c r="P53" s="42"/>
      <c r="Q53" s="42"/>
      <c r="R53" s="42"/>
      <c r="S53" s="42"/>
      <c r="T53" s="42"/>
      <c r="U53" s="42"/>
      <c r="V53" s="42"/>
      <c r="W53" s="42"/>
      <c r="X53" s="42"/>
    </row>
    <row r="54" spans="1:24" ht="18" customHeight="1" x14ac:dyDescent="0.25">
      <c r="A54" s="32" t="str">
        <f t="shared" si="1"/>
        <v>Não</v>
      </c>
      <c r="B54" s="10">
        <v>490</v>
      </c>
      <c r="C54" s="7"/>
      <c r="D54" s="44">
        <f>IF(C54=0,0,IF(ISERROR(VLOOKUP(C54,Operações!A:D,2,FALSE)),0,VLOOKUP(C54,Operações!A:D,2,FALSE)))</f>
        <v>0</v>
      </c>
      <c r="E54" s="44">
        <f>IF(C54=0,0,IF(ISERROR(VLOOKUP(C54,Operações!A:D,3,FALSE)),0,VLOOKUP(C54,Operações!A:D,3,FALSE)))</f>
        <v>0</v>
      </c>
      <c r="F54" s="50">
        <f>IF(C54=0,0,IF(ISERROR(VLOOKUP(C54,Operações!A:D,4,FALSE)),0,VLOOKUP(C54,Operações!A:D,4,FALSE)))</f>
        <v>0</v>
      </c>
      <c r="G54" s="79">
        <f t="shared" si="2"/>
        <v>0</v>
      </c>
      <c r="H54" s="42"/>
      <c r="I54" s="42"/>
      <c r="J54" s="42"/>
      <c r="K54" s="42"/>
      <c r="L54" s="42"/>
      <c r="M54" s="42"/>
      <c r="N54" s="27">
        <f t="shared" si="3"/>
        <v>0</v>
      </c>
      <c r="O54" s="42"/>
      <c r="P54" s="42"/>
      <c r="Q54" s="42"/>
      <c r="R54" s="42"/>
      <c r="S54" s="42"/>
      <c r="T54" s="42"/>
      <c r="U54" s="42"/>
      <c r="V54" s="42"/>
      <c r="W54" s="42"/>
      <c r="X54" s="42"/>
    </row>
    <row r="55" spans="1:24" ht="18" customHeight="1" x14ac:dyDescent="0.25">
      <c r="A55" s="32" t="str">
        <f t="shared" si="1"/>
        <v>Não</v>
      </c>
      <c r="B55" s="8">
        <v>500</v>
      </c>
      <c r="C55" s="7"/>
      <c r="D55" s="44">
        <f>IF(C55=0,0,IF(ISERROR(VLOOKUP(C55,Operações!A:D,2,FALSE)),0,VLOOKUP(C55,Operações!A:D,2,FALSE)))</f>
        <v>0</v>
      </c>
      <c r="E55" s="44">
        <f>IF(C55=0,0,IF(ISERROR(VLOOKUP(C55,Operações!A:D,3,FALSE)),0,VLOOKUP(C55,Operações!A:D,3,FALSE)))</f>
        <v>0</v>
      </c>
      <c r="F55" s="50">
        <f>IF(C55=0,0,IF(ISERROR(VLOOKUP(C55,Operações!A:D,4,FALSE)),0,VLOOKUP(C55,Operações!A:D,4,FALSE)))</f>
        <v>0</v>
      </c>
      <c r="G55" s="79">
        <f t="shared" si="2"/>
        <v>0</v>
      </c>
      <c r="H55" s="42"/>
      <c r="I55" s="42"/>
      <c r="J55" s="42"/>
      <c r="K55" s="42"/>
      <c r="L55" s="42"/>
      <c r="M55" s="42"/>
      <c r="N55" s="27">
        <f t="shared" si="3"/>
        <v>0</v>
      </c>
      <c r="O55" s="42"/>
      <c r="P55" s="42"/>
      <c r="Q55" s="42"/>
      <c r="R55" s="42"/>
      <c r="S55" s="42"/>
      <c r="T55" s="42"/>
      <c r="U55" s="42"/>
      <c r="V55" s="42"/>
      <c r="W55" s="42"/>
      <c r="X55" s="42"/>
    </row>
    <row r="56" spans="1:24" ht="18" customHeight="1" x14ac:dyDescent="0.25">
      <c r="A56" s="32" t="str">
        <f t="shared" si="1"/>
        <v>Não</v>
      </c>
      <c r="B56" s="10">
        <v>510</v>
      </c>
      <c r="C56" s="7"/>
      <c r="D56" s="44">
        <f>IF(C56=0,0,IF(ISERROR(VLOOKUP(C56,Operações!A:D,2,FALSE)),0,VLOOKUP(C56,Operações!A:D,2,FALSE)))</f>
        <v>0</v>
      </c>
      <c r="E56" s="44">
        <f>IF(C56=0,0,IF(ISERROR(VLOOKUP(C56,Operações!A:D,3,FALSE)),0,VLOOKUP(C56,Operações!A:D,3,FALSE)))</f>
        <v>0</v>
      </c>
      <c r="F56" s="50">
        <f>IF(C56=0,0,IF(ISERROR(VLOOKUP(C56,Operações!A:D,4,FALSE)),0,VLOOKUP(C56,Operações!A:D,4,FALSE)))</f>
        <v>0</v>
      </c>
      <c r="G56" s="79">
        <f t="shared" si="2"/>
        <v>0</v>
      </c>
      <c r="H56" s="42"/>
      <c r="I56" s="42"/>
      <c r="J56" s="42"/>
      <c r="K56" s="42"/>
      <c r="L56" s="42"/>
      <c r="M56" s="42"/>
      <c r="N56" s="27">
        <f t="shared" si="3"/>
        <v>0</v>
      </c>
      <c r="O56" s="42"/>
      <c r="P56" s="42"/>
      <c r="Q56" s="42"/>
      <c r="R56" s="42"/>
      <c r="S56" s="42"/>
      <c r="T56" s="42"/>
      <c r="U56" s="42"/>
      <c r="V56" s="42"/>
      <c r="W56" s="42"/>
      <c r="X56" s="42"/>
    </row>
    <row r="57" spans="1:24" ht="18" customHeight="1" x14ac:dyDescent="0.25">
      <c r="A57" s="32" t="str">
        <f t="shared" si="1"/>
        <v>Não</v>
      </c>
      <c r="B57" s="8">
        <v>520</v>
      </c>
      <c r="C57" s="7"/>
      <c r="D57" s="44">
        <f>IF(C57=0,0,IF(ISERROR(VLOOKUP(C57,Operações!A:D,2,FALSE)),0,VLOOKUP(C57,Operações!A:D,2,FALSE)))</f>
        <v>0</v>
      </c>
      <c r="E57" s="44">
        <f>IF(C57=0,0,IF(ISERROR(VLOOKUP(C57,Operações!A:D,3,FALSE)),0,VLOOKUP(C57,Operações!A:D,3,FALSE)))</f>
        <v>0</v>
      </c>
      <c r="F57" s="50">
        <f>IF(C57=0,0,IF(ISERROR(VLOOKUP(C57,Operações!A:D,4,FALSE)),0,VLOOKUP(C57,Operações!A:D,4,FALSE)))</f>
        <v>0</v>
      </c>
      <c r="G57" s="79">
        <f t="shared" si="2"/>
        <v>0</v>
      </c>
      <c r="H57" s="42"/>
      <c r="I57" s="42"/>
      <c r="J57" s="42"/>
      <c r="K57" s="42"/>
      <c r="L57" s="42"/>
      <c r="M57" s="42"/>
      <c r="N57" s="27">
        <f t="shared" si="3"/>
        <v>0</v>
      </c>
      <c r="O57" s="42"/>
      <c r="P57" s="42"/>
      <c r="Q57" s="42"/>
      <c r="R57" s="42"/>
      <c r="S57" s="42"/>
      <c r="T57" s="42"/>
      <c r="U57" s="42"/>
      <c r="V57" s="42"/>
      <c r="W57" s="42"/>
      <c r="X57" s="42"/>
    </row>
    <row r="58" spans="1:24" ht="18" customHeight="1" x14ac:dyDescent="0.25">
      <c r="A58" s="32" t="str">
        <f t="shared" si="1"/>
        <v>Não</v>
      </c>
      <c r="B58" s="10">
        <v>530</v>
      </c>
      <c r="C58" s="7"/>
      <c r="D58" s="44">
        <f>IF(C58=0,0,IF(ISERROR(VLOOKUP(C58,Operações!A:D,2,FALSE)),0,VLOOKUP(C58,Operações!A:D,2,FALSE)))</f>
        <v>0</v>
      </c>
      <c r="E58" s="44">
        <f>IF(C58=0,0,IF(ISERROR(VLOOKUP(C58,Operações!A:D,3,FALSE)),0,VLOOKUP(C58,Operações!A:D,3,FALSE)))</f>
        <v>0</v>
      </c>
      <c r="F58" s="50">
        <f>IF(C58=0,0,IF(ISERROR(VLOOKUP(C58,Operações!A:D,4,FALSE)),0,VLOOKUP(C58,Operações!A:D,4,FALSE)))</f>
        <v>0</v>
      </c>
      <c r="G58" s="79">
        <f t="shared" si="2"/>
        <v>0</v>
      </c>
      <c r="H58" s="42"/>
      <c r="I58" s="42"/>
      <c r="J58" s="42"/>
      <c r="K58" s="42"/>
      <c r="L58" s="42"/>
      <c r="M58" s="42"/>
      <c r="N58" s="27">
        <f t="shared" si="3"/>
        <v>0</v>
      </c>
      <c r="O58" s="42"/>
      <c r="P58" s="42"/>
      <c r="Q58" s="42"/>
      <c r="R58" s="42"/>
      <c r="S58" s="42"/>
      <c r="T58" s="42"/>
      <c r="U58" s="42"/>
      <c r="V58" s="42"/>
      <c r="W58" s="42"/>
      <c r="X58" s="42"/>
    </row>
    <row r="59" spans="1:24" ht="18" customHeight="1" x14ac:dyDescent="0.25">
      <c r="A59" s="32" t="str">
        <f t="shared" si="1"/>
        <v>Não</v>
      </c>
      <c r="B59" s="8">
        <v>540</v>
      </c>
      <c r="C59" s="7"/>
      <c r="D59" s="44">
        <f>IF(C59=0,0,IF(ISERROR(VLOOKUP(C59,Operações!A:D,2,FALSE)),0,VLOOKUP(C59,Operações!A:D,2,FALSE)))</f>
        <v>0</v>
      </c>
      <c r="E59" s="44">
        <f>IF(C59=0,0,IF(ISERROR(VLOOKUP(C59,Operações!A:D,3,FALSE)),0,VLOOKUP(C59,Operações!A:D,3,FALSE)))</f>
        <v>0</v>
      </c>
      <c r="F59" s="50">
        <f>IF(C59=0,0,IF(ISERROR(VLOOKUP(C59,Operações!A:D,4,FALSE)),0,VLOOKUP(C59,Operações!A:D,4,FALSE)))</f>
        <v>0</v>
      </c>
      <c r="G59" s="79">
        <f t="shared" si="2"/>
        <v>0</v>
      </c>
      <c r="H59" s="42"/>
      <c r="I59" s="42"/>
      <c r="J59" s="42"/>
      <c r="K59" s="42"/>
      <c r="L59" s="42"/>
      <c r="M59" s="42"/>
      <c r="N59" s="27">
        <f t="shared" si="3"/>
        <v>0</v>
      </c>
      <c r="O59" s="42"/>
      <c r="P59" s="42"/>
      <c r="Q59" s="42"/>
      <c r="R59" s="42"/>
      <c r="S59" s="42"/>
      <c r="T59" s="42"/>
      <c r="U59" s="42"/>
      <c r="V59" s="42"/>
      <c r="W59" s="42"/>
      <c r="X59" s="42"/>
    </row>
    <row r="60" spans="1:24" ht="18" customHeight="1" x14ac:dyDescent="0.25">
      <c r="A60" s="32" t="str">
        <f t="shared" si="1"/>
        <v>Não</v>
      </c>
      <c r="B60" s="10">
        <v>550</v>
      </c>
      <c r="C60" s="7"/>
      <c r="D60" s="44">
        <f>IF(C60=0,0,IF(ISERROR(VLOOKUP(C60,Operações!A:D,2,FALSE)),0,VLOOKUP(C60,Operações!A:D,2,FALSE)))</f>
        <v>0</v>
      </c>
      <c r="E60" s="44">
        <f>IF(C60=0,0,IF(ISERROR(VLOOKUP(C60,Operações!A:D,3,FALSE)),0,VLOOKUP(C60,Operações!A:D,3,FALSE)))</f>
        <v>0</v>
      </c>
      <c r="F60" s="50">
        <f>IF(C60=0,0,IF(ISERROR(VLOOKUP(C60,Operações!A:D,4,FALSE)),0,VLOOKUP(C60,Operações!A:D,4,FALSE)))</f>
        <v>0</v>
      </c>
      <c r="G60" s="79">
        <f t="shared" si="2"/>
        <v>0</v>
      </c>
      <c r="H60" s="42"/>
      <c r="I60" s="42"/>
      <c r="J60" s="42"/>
      <c r="K60" s="42"/>
      <c r="L60" s="42"/>
      <c r="M60" s="42"/>
      <c r="N60" s="27">
        <f t="shared" si="3"/>
        <v>0</v>
      </c>
      <c r="O60" s="42"/>
      <c r="P60" s="42"/>
      <c r="Q60" s="42"/>
      <c r="R60" s="42"/>
      <c r="S60" s="42"/>
      <c r="T60" s="42"/>
      <c r="U60" s="42"/>
      <c r="V60" s="42"/>
      <c r="W60" s="42"/>
      <c r="X60" s="42"/>
    </row>
    <row r="61" spans="1:24" ht="18" customHeight="1" x14ac:dyDescent="0.25">
      <c r="A61" s="32" t="str">
        <f t="shared" si="1"/>
        <v>Não</v>
      </c>
      <c r="B61" s="8">
        <v>560</v>
      </c>
      <c r="C61" s="7"/>
      <c r="D61" s="44">
        <f>IF(C61=0,0,IF(ISERROR(VLOOKUP(C61,Operações!A:D,2,FALSE)),0,VLOOKUP(C61,Operações!A:D,2,FALSE)))</f>
        <v>0</v>
      </c>
      <c r="E61" s="44">
        <f>IF(C61=0,0,IF(ISERROR(VLOOKUP(C61,Operações!A:D,3,FALSE)),0,VLOOKUP(C61,Operações!A:D,3,FALSE)))</f>
        <v>0</v>
      </c>
      <c r="F61" s="50">
        <f>IF(C61=0,0,IF(ISERROR(VLOOKUP(C61,Operações!A:D,4,FALSE)),0,VLOOKUP(C61,Operações!A:D,4,FALSE)))</f>
        <v>0</v>
      </c>
      <c r="G61" s="79">
        <f t="shared" si="2"/>
        <v>0</v>
      </c>
      <c r="H61" s="42"/>
      <c r="I61" s="42"/>
      <c r="J61" s="42"/>
      <c r="K61" s="42"/>
      <c r="L61" s="42"/>
      <c r="M61" s="42"/>
      <c r="N61" s="27">
        <f t="shared" si="3"/>
        <v>0</v>
      </c>
      <c r="O61" s="42"/>
      <c r="P61" s="42"/>
      <c r="Q61" s="42"/>
      <c r="R61" s="42"/>
      <c r="S61" s="42"/>
      <c r="T61" s="42"/>
      <c r="U61" s="42"/>
      <c r="V61" s="42"/>
      <c r="W61" s="42"/>
      <c r="X61" s="42"/>
    </row>
    <row r="62" spans="1:24" ht="18" customHeight="1" x14ac:dyDescent="0.25">
      <c r="A62" s="32" t="str">
        <f t="shared" si="1"/>
        <v>Não</v>
      </c>
      <c r="B62" s="10">
        <v>570</v>
      </c>
      <c r="C62" s="7"/>
      <c r="D62" s="44">
        <f>IF(C62=0,0,IF(ISERROR(VLOOKUP(C62,Operações!A:D,2,FALSE)),0,VLOOKUP(C62,Operações!A:D,2,FALSE)))</f>
        <v>0</v>
      </c>
      <c r="E62" s="44">
        <f>IF(C62=0,0,IF(ISERROR(VLOOKUP(C62,Operações!A:D,3,FALSE)),0,VLOOKUP(C62,Operações!A:D,3,FALSE)))</f>
        <v>0</v>
      </c>
      <c r="F62" s="50">
        <f>IF(C62=0,0,IF(ISERROR(VLOOKUP(C62,Operações!A:D,4,FALSE)),0,VLOOKUP(C62,Operações!A:D,4,FALSE)))</f>
        <v>0</v>
      </c>
      <c r="G62" s="79">
        <f t="shared" si="2"/>
        <v>0</v>
      </c>
      <c r="H62" s="42"/>
      <c r="I62" s="42"/>
      <c r="J62" s="42"/>
      <c r="K62" s="42"/>
      <c r="L62" s="42"/>
      <c r="M62" s="42"/>
      <c r="N62" s="27">
        <f t="shared" si="3"/>
        <v>0</v>
      </c>
      <c r="O62" s="42"/>
      <c r="P62" s="42"/>
      <c r="Q62" s="42"/>
      <c r="R62" s="42"/>
      <c r="S62" s="42"/>
      <c r="T62" s="42"/>
      <c r="U62" s="42"/>
      <c r="V62" s="42"/>
      <c r="W62" s="42"/>
      <c r="X62" s="42"/>
    </row>
    <row r="63" spans="1:24" ht="18" customHeight="1" x14ac:dyDescent="0.25">
      <c r="A63" s="32" t="str">
        <f t="shared" si="1"/>
        <v>Não</v>
      </c>
      <c r="B63" s="8">
        <v>580</v>
      </c>
      <c r="C63" s="7"/>
      <c r="D63" s="44">
        <f>IF(C63=0,0,IF(ISERROR(VLOOKUP(C63,Operações!A:D,2,FALSE)),0,VLOOKUP(C63,Operações!A:D,2,FALSE)))</f>
        <v>0</v>
      </c>
      <c r="E63" s="44">
        <f>IF(C63=0,0,IF(ISERROR(VLOOKUP(C63,Operações!A:D,3,FALSE)),0,VLOOKUP(C63,Operações!A:D,3,FALSE)))</f>
        <v>0</v>
      </c>
      <c r="F63" s="50">
        <f>IF(C63=0,0,IF(ISERROR(VLOOKUP(C63,Operações!A:D,4,FALSE)),0,VLOOKUP(C63,Operações!A:D,4,FALSE)))</f>
        <v>0</v>
      </c>
      <c r="G63" s="79">
        <f t="shared" si="2"/>
        <v>0</v>
      </c>
      <c r="H63" s="42"/>
      <c r="I63" s="42"/>
      <c r="J63" s="42"/>
      <c r="K63" s="42"/>
      <c r="L63" s="42"/>
      <c r="M63" s="42"/>
      <c r="N63" s="27">
        <f t="shared" si="3"/>
        <v>0</v>
      </c>
      <c r="O63" s="42"/>
      <c r="P63" s="42"/>
      <c r="Q63" s="42"/>
      <c r="R63" s="42"/>
      <c r="S63" s="42"/>
      <c r="T63" s="42"/>
      <c r="U63" s="42"/>
      <c r="V63" s="42"/>
      <c r="W63" s="42"/>
      <c r="X63" s="42"/>
    </row>
    <row r="64" spans="1:24" ht="18" customHeight="1" x14ac:dyDescent="0.25">
      <c r="A64" s="32" t="str">
        <f t="shared" si="1"/>
        <v>Não</v>
      </c>
      <c r="B64" s="10">
        <v>590</v>
      </c>
      <c r="C64" s="7"/>
      <c r="D64" s="44">
        <f>IF(C64=0,0,IF(ISERROR(VLOOKUP(C64,Operações!A:D,2,FALSE)),0,VLOOKUP(C64,Operações!A:D,2,FALSE)))</f>
        <v>0</v>
      </c>
      <c r="E64" s="44">
        <f>IF(C64=0,0,IF(ISERROR(VLOOKUP(C64,Operações!A:D,3,FALSE)),0,VLOOKUP(C64,Operações!A:D,3,FALSE)))</f>
        <v>0</v>
      </c>
      <c r="F64" s="50">
        <f>IF(C64=0,0,IF(ISERROR(VLOOKUP(C64,Operações!A:D,4,FALSE)),0,VLOOKUP(C64,Operações!A:D,4,FALSE)))</f>
        <v>0</v>
      </c>
      <c r="G64" s="79">
        <f t="shared" si="2"/>
        <v>0</v>
      </c>
      <c r="H64" s="42"/>
      <c r="I64" s="42"/>
      <c r="J64" s="42"/>
      <c r="K64" s="42"/>
      <c r="L64" s="42"/>
      <c r="M64" s="42"/>
      <c r="N64" s="27">
        <f t="shared" si="3"/>
        <v>0</v>
      </c>
      <c r="O64" s="42"/>
      <c r="P64" s="42"/>
      <c r="Q64" s="42"/>
      <c r="R64" s="42"/>
      <c r="S64" s="42"/>
      <c r="T64" s="42"/>
      <c r="U64" s="42"/>
      <c r="V64" s="42"/>
      <c r="W64" s="42"/>
      <c r="X64" s="42"/>
    </row>
    <row r="65" spans="1:24" ht="18" customHeight="1" x14ac:dyDescent="0.25">
      <c r="A65" s="32" t="str">
        <f t="shared" si="1"/>
        <v>Não</v>
      </c>
      <c r="B65" s="8">
        <v>600</v>
      </c>
      <c r="C65" s="7"/>
      <c r="D65" s="44">
        <f>IF(C65=0,0,IF(ISERROR(VLOOKUP(C65,Operações!A:D,2,FALSE)),0,VLOOKUP(C65,Operações!A:D,2,FALSE)))</f>
        <v>0</v>
      </c>
      <c r="E65" s="44">
        <f>IF(C65=0,0,IF(ISERROR(VLOOKUP(C65,Operações!A:D,3,FALSE)),0,VLOOKUP(C65,Operações!A:D,3,FALSE)))</f>
        <v>0</v>
      </c>
      <c r="F65" s="50">
        <f>IF(C65=0,0,IF(ISERROR(VLOOKUP(C65,Operações!A:D,4,FALSE)),0,VLOOKUP(C65,Operações!A:D,4,FALSE)))</f>
        <v>0</v>
      </c>
      <c r="G65" s="79">
        <f t="shared" si="2"/>
        <v>0</v>
      </c>
      <c r="H65" s="42"/>
      <c r="I65" s="42"/>
      <c r="J65" s="42"/>
      <c r="K65" s="42"/>
      <c r="L65" s="42"/>
      <c r="M65" s="42"/>
      <c r="N65" s="27">
        <f t="shared" si="3"/>
        <v>0</v>
      </c>
      <c r="O65" s="42"/>
      <c r="P65" s="42"/>
      <c r="Q65" s="42"/>
      <c r="R65" s="42"/>
      <c r="S65" s="42"/>
      <c r="T65" s="42"/>
      <c r="U65" s="42"/>
      <c r="V65" s="42"/>
      <c r="W65" s="42"/>
      <c r="X65" s="42"/>
    </row>
    <row r="66" spans="1:24" ht="18" customHeight="1" x14ac:dyDescent="0.25">
      <c r="A66" s="32" t="str">
        <f t="shared" si="1"/>
        <v>Não</v>
      </c>
      <c r="B66" s="10">
        <v>610</v>
      </c>
      <c r="C66" s="7"/>
      <c r="D66" s="44">
        <f>IF(C66=0,0,IF(ISERROR(VLOOKUP(C66,Operações!A:D,2,FALSE)),0,VLOOKUP(C66,Operações!A:D,2,FALSE)))</f>
        <v>0</v>
      </c>
      <c r="E66" s="44">
        <f>IF(C66=0,0,IF(ISERROR(VLOOKUP(C66,Operações!A:D,3,FALSE)),0,VLOOKUP(C66,Operações!A:D,3,FALSE)))</f>
        <v>0</v>
      </c>
      <c r="F66" s="50">
        <f>IF(C66=0,0,IF(ISERROR(VLOOKUP(C66,Operações!A:D,4,FALSE)),0,VLOOKUP(C66,Operações!A:D,4,FALSE)))</f>
        <v>0</v>
      </c>
      <c r="G66" s="79">
        <f t="shared" si="2"/>
        <v>0</v>
      </c>
      <c r="H66" s="42"/>
      <c r="I66" s="42"/>
      <c r="J66" s="42"/>
      <c r="K66" s="42"/>
      <c r="L66" s="42"/>
      <c r="M66" s="42"/>
      <c r="N66" s="27">
        <f t="shared" si="3"/>
        <v>0</v>
      </c>
      <c r="O66" s="42"/>
      <c r="P66" s="42"/>
      <c r="Q66" s="42"/>
      <c r="R66" s="42"/>
      <c r="S66" s="42"/>
      <c r="T66" s="42"/>
      <c r="U66" s="42"/>
      <c r="V66" s="42"/>
      <c r="W66" s="42"/>
      <c r="X66" s="42"/>
    </row>
    <row r="67" spans="1:24" ht="18" customHeight="1" x14ac:dyDescent="0.25">
      <c r="A67" s="32" t="str">
        <f t="shared" si="1"/>
        <v>Não</v>
      </c>
      <c r="B67" s="8">
        <v>620</v>
      </c>
      <c r="C67" s="7"/>
      <c r="D67" s="44">
        <f>IF(C67=0,0,IF(ISERROR(VLOOKUP(C67,Operações!A:D,2,FALSE)),0,VLOOKUP(C67,Operações!A:D,2,FALSE)))</f>
        <v>0</v>
      </c>
      <c r="E67" s="44">
        <f>IF(C67=0,0,IF(ISERROR(VLOOKUP(C67,Operações!A:D,3,FALSE)),0,VLOOKUP(C67,Operações!A:D,3,FALSE)))</f>
        <v>0</v>
      </c>
      <c r="F67" s="50">
        <f>IF(C67=0,0,IF(ISERROR(VLOOKUP(C67,Operações!A:D,4,FALSE)),0,VLOOKUP(C67,Operações!A:D,4,FALSE)))</f>
        <v>0</v>
      </c>
      <c r="G67" s="79">
        <f t="shared" si="2"/>
        <v>0</v>
      </c>
      <c r="H67" s="42"/>
      <c r="I67" s="42"/>
      <c r="J67" s="42"/>
      <c r="K67" s="42"/>
      <c r="L67" s="42"/>
      <c r="M67" s="42"/>
      <c r="N67" s="27">
        <f t="shared" si="3"/>
        <v>0</v>
      </c>
      <c r="O67" s="42"/>
      <c r="P67" s="42"/>
      <c r="Q67" s="42"/>
      <c r="R67" s="42"/>
      <c r="S67" s="42"/>
      <c r="T67" s="42"/>
      <c r="U67" s="42"/>
      <c r="V67" s="42"/>
      <c r="W67" s="42"/>
      <c r="X67" s="42"/>
    </row>
    <row r="68" spans="1:24" ht="18" customHeight="1" x14ac:dyDescent="0.25">
      <c r="A68" s="32" t="str">
        <f t="shared" si="1"/>
        <v>Não</v>
      </c>
      <c r="B68" s="10">
        <v>630</v>
      </c>
      <c r="C68" s="7"/>
      <c r="D68" s="44">
        <f>IF(C68=0,0,IF(ISERROR(VLOOKUP(C68,Operações!A:D,2,FALSE)),0,VLOOKUP(C68,Operações!A:D,2,FALSE)))</f>
        <v>0</v>
      </c>
      <c r="E68" s="44">
        <f>IF(C68=0,0,IF(ISERROR(VLOOKUP(C68,Operações!A:D,3,FALSE)),0,VLOOKUP(C68,Operações!A:D,3,FALSE)))</f>
        <v>0</v>
      </c>
      <c r="F68" s="50">
        <f>IF(C68=0,0,IF(ISERROR(VLOOKUP(C68,Operações!A:D,4,FALSE)),0,VLOOKUP(C68,Operações!A:D,4,FALSE)))</f>
        <v>0</v>
      </c>
      <c r="G68" s="79">
        <f t="shared" si="2"/>
        <v>0</v>
      </c>
      <c r="H68" s="42"/>
      <c r="I68" s="42"/>
      <c r="J68" s="42"/>
      <c r="K68" s="42"/>
      <c r="L68" s="42"/>
      <c r="M68" s="42"/>
      <c r="N68" s="27">
        <f t="shared" si="3"/>
        <v>0</v>
      </c>
      <c r="O68" s="42"/>
      <c r="P68" s="42"/>
      <c r="Q68" s="42"/>
      <c r="R68" s="42"/>
      <c r="S68" s="42"/>
      <c r="T68" s="42"/>
      <c r="U68" s="42"/>
      <c r="V68" s="42"/>
      <c r="W68" s="42"/>
      <c r="X68" s="42"/>
    </row>
    <row r="69" spans="1:24" ht="18" customHeight="1" x14ac:dyDescent="0.25">
      <c r="A69" s="32" t="str">
        <f t="shared" si="1"/>
        <v>Não</v>
      </c>
      <c r="B69" s="8">
        <v>640</v>
      </c>
      <c r="C69" s="7"/>
      <c r="D69" s="44">
        <f>IF(C69=0,0,IF(ISERROR(VLOOKUP(C69,Operações!A:D,2,FALSE)),0,VLOOKUP(C69,Operações!A:D,2,FALSE)))</f>
        <v>0</v>
      </c>
      <c r="E69" s="44">
        <f>IF(C69=0,0,IF(ISERROR(VLOOKUP(C69,Operações!A:D,3,FALSE)),0,VLOOKUP(C69,Operações!A:D,3,FALSE)))</f>
        <v>0</v>
      </c>
      <c r="F69" s="50">
        <f>IF(C69=0,0,IF(ISERROR(VLOOKUP(C69,Operações!A:D,4,FALSE)),0,VLOOKUP(C69,Operações!A:D,4,FALSE)))</f>
        <v>0</v>
      </c>
      <c r="G69" s="79">
        <f t="shared" si="2"/>
        <v>0</v>
      </c>
      <c r="H69" s="42"/>
      <c r="I69" s="42"/>
      <c r="J69" s="42"/>
      <c r="K69" s="42"/>
      <c r="L69" s="42"/>
      <c r="M69" s="42"/>
      <c r="N69" s="27">
        <f t="shared" si="3"/>
        <v>0</v>
      </c>
      <c r="O69" s="42"/>
      <c r="P69" s="42"/>
      <c r="Q69" s="42"/>
      <c r="R69" s="42"/>
      <c r="S69" s="42"/>
      <c r="T69" s="42"/>
      <c r="U69" s="42"/>
      <c r="V69" s="42"/>
      <c r="W69" s="42"/>
      <c r="X69" s="42"/>
    </row>
    <row r="70" spans="1:24" ht="18" customHeight="1" x14ac:dyDescent="0.25">
      <c r="A70" s="32" t="str">
        <f t="shared" si="1"/>
        <v>Não</v>
      </c>
      <c r="B70" s="10">
        <v>650</v>
      </c>
      <c r="C70" s="7"/>
      <c r="D70" s="44">
        <f>IF(C70=0,0,IF(ISERROR(VLOOKUP(C70,Operações!A:D,2,FALSE)),0,VLOOKUP(C70,Operações!A:D,2,FALSE)))</f>
        <v>0</v>
      </c>
      <c r="E70" s="44">
        <f>IF(C70=0,0,IF(ISERROR(VLOOKUP(C70,Operações!A:D,3,FALSE)),0,VLOOKUP(C70,Operações!A:D,3,FALSE)))</f>
        <v>0</v>
      </c>
      <c r="F70" s="50">
        <f>IF(C70=0,0,IF(ISERROR(VLOOKUP(C70,Operações!A:D,4,FALSE)),0,VLOOKUP(C70,Operações!A:D,4,FALSE)))</f>
        <v>0</v>
      </c>
      <c r="G70" s="79">
        <f t="shared" si="2"/>
        <v>0</v>
      </c>
      <c r="H70" s="42"/>
      <c r="I70" s="42"/>
      <c r="J70" s="42"/>
      <c r="K70" s="42"/>
      <c r="L70" s="42"/>
      <c r="M70" s="42"/>
      <c r="N70" s="27">
        <f t="shared" ref="N70:N101" si="4">IF(C70=0,0,IF(AND(D70&lt;&gt;0,F70&lt;&gt;0),0,1))</f>
        <v>0</v>
      </c>
      <c r="O70" s="42"/>
      <c r="P70" s="42"/>
      <c r="Q70" s="42"/>
      <c r="R70" s="42"/>
      <c r="S70" s="42"/>
      <c r="T70" s="42"/>
      <c r="U70" s="42"/>
      <c r="V70" s="42"/>
      <c r="W70" s="42"/>
      <c r="X70" s="42"/>
    </row>
    <row r="71" spans="1:24" ht="18" customHeight="1" x14ac:dyDescent="0.25">
      <c r="A71" s="32" t="str">
        <f t="shared" ref="A71:A125" si="5">IF(C71=0,"Não","Sim")</f>
        <v>Não</v>
      </c>
      <c r="B71" s="8">
        <v>660</v>
      </c>
      <c r="C71" s="7"/>
      <c r="D71" s="44">
        <f>IF(C71=0,0,IF(ISERROR(VLOOKUP(C71,Operações!A:D,2,FALSE)),0,VLOOKUP(C71,Operações!A:D,2,FALSE)))</f>
        <v>0</v>
      </c>
      <c r="E71" s="44">
        <f>IF(C71=0,0,IF(ISERROR(VLOOKUP(C71,Operações!A:D,3,FALSE)),0,VLOOKUP(C71,Operações!A:D,3,FALSE)))</f>
        <v>0</v>
      </c>
      <c r="F71" s="50">
        <f>IF(C71=0,0,IF(ISERROR(VLOOKUP(C71,Operações!A:D,4,FALSE)),0,VLOOKUP(C71,Operações!A:D,4,FALSE)))</f>
        <v>0</v>
      </c>
      <c r="G71" s="79">
        <f t="shared" si="2"/>
        <v>0</v>
      </c>
      <c r="H71" s="42"/>
      <c r="I71" s="42"/>
      <c r="J71" s="42"/>
      <c r="K71" s="42"/>
      <c r="L71" s="42"/>
      <c r="M71" s="42"/>
      <c r="N71" s="27">
        <f t="shared" si="4"/>
        <v>0</v>
      </c>
      <c r="O71" s="42"/>
      <c r="P71" s="42"/>
      <c r="Q71" s="42"/>
      <c r="R71" s="42"/>
      <c r="S71" s="42"/>
      <c r="T71" s="42"/>
      <c r="U71" s="42"/>
      <c r="V71" s="42"/>
      <c r="W71" s="42"/>
      <c r="X71" s="42"/>
    </row>
    <row r="72" spans="1:24" ht="18" customHeight="1" x14ac:dyDescent="0.25">
      <c r="A72" s="32" t="str">
        <f t="shared" si="5"/>
        <v>Não</v>
      </c>
      <c r="B72" s="10">
        <v>670</v>
      </c>
      <c r="C72" s="7"/>
      <c r="D72" s="44">
        <f>IF(C72=0,0,IF(ISERROR(VLOOKUP(C72,Operações!A:D,2,FALSE)),0,VLOOKUP(C72,Operações!A:D,2,FALSE)))</f>
        <v>0</v>
      </c>
      <c r="E72" s="44">
        <f>IF(C72=0,0,IF(ISERROR(VLOOKUP(C72,Operações!A:D,3,FALSE)),0,VLOOKUP(C72,Operações!A:D,3,FALSE)))</f>
        <v>0</v>
      </c>
      <c r="F72" s="50">
        <f>IF(C72=0,0,IF(ISERROR(VLOOKUP(C72,Operações!A:D,4,FALSE)),0,VLOOKUP(C72,Operações!A:D,4,FALSE)))</f>
        <v>0</v>
      </c>
      <c r="G72" s="79">
        <f t="shared" si="2"/>
        <v>0</v>
      </c>
      <c r="H72" s="42"/>
      <c r="I72" s="42"/>
      <c r="J72" s="42"/>
      <c r="K72" s="42"/>
      <c r="L72" s="42"/>
      <c r="M72" s="42"/>
      <c r="N72" s="27">
        <f t="shared" si="4"/>
        <v>0</v>
      </c>
      <c r="O72" s="42"/>
      <c r="P72" s="42"/>
      <c r="Q72" s="42"/>
      <c r="R72" s="42"/>
      <c r="S72" s="42"/>
      <c r="T72" s="42"/>
      <c r="U72" s="42"/>
      <c r="V72" s="42"/>
      <c r="W72" s="42"/>
      <c r="X72" s="42"/>
    </row>
    <row r="73" spans="1:24" ht="18" customHeight="1" x14ac:dyDescent="0.25">
      <c r="A73" s="32" t="str">
        <f t="shared" si="5"/>
        <v>Não</v>
      </c>
      <c r="B73" s="8">
        <v>680</v>
      </c>
      <c r="C73" s="7"/>
      <c r="D73" s="44">
        <f>IF(C73=0,0,IF(ISERROR(VLOOKUP(C73,Operações!A:D,2,FALSE)),0,VLOOKUP(C73,Operações!A:D,2,FALSE)))</f>
        <v>0</v>
      </c>
      <c r="E73" s="44">
        <f>IF(C73=0,0,IF(ISERROR(VLOOKUP(C73,Operações!A:D,3,FALSE)),0,VLOOKUP(C73,Operações!A:D,3,FALSE)))</f>
        <v>0</v>
      </c>
      <c r="F73" s="50">
        <f>IF(C73=0,0,IF(ISERROR(VLOOKUP(C73,Operações!A:D,4,FALSE)),0,VLOOKUP(C73,Operações!A:D,4,FALSE)))</f>
        <v>0</v>
      </c>
      <c r="G73" s="79">
        <f t="shared" ref="G73:G125" si="6">IF(AND(C72=0,C73&lt;&gt;0),1,0)</f>
        <v>0</v>
      </c>
      <c r="H73" s="42"/>
      <c r="I73" s="42"/>
      <c r="J73" s="42"/>
      <c r="K73" s="42"/>
      <c r="L73" s="42"/>
      <c r="M73" s="42"/>
      <c r="N73" s="27">
        <f t="shared" si="4"/>
        <v>0</v>
      </c>
      <c r="O73" s="42"/>
      <c r="P73" s="42"/>
      <c r="Q73" s="42"/>
      <c r="R73" s="42"/>
      <c r="S73" s="42"/>
      <c r="T73" s="42"/>
      <c r="U73" s="42"/>
      <c r="V73" s="42"/>
      <c r="W73" s="42"/>
      <c r="X73" s="42"/>
    </row>
    <row r="74" spans="1:24" ht="18" customHeight="1" x14ac:dyDescent="0.25">
      <c r="A74" s="32" t="str">
        <f t="shared" si="5"/>
        <v>Não</v>
      </c>
      <c r="B74" s="10">
        <v>690</v>
      </c>
      <c r="C74" s="7"/>
      <c r="D74" s="44">
        <f>IF(C74=0,0,IF(ISERROR(VLOOKUP(C74,Operações!A:D,2,FALSE)),0,VLOOKUP(C74,Operações!A:D,2,FALSE)))</f>
        <v>0</v>
      </c>
      <c r="E74" s="44">
        <f>IF(C74=0,0,IF(ISERROR(VLOOKUP(C74,Operações!A:D,3,FALSE)),0,VLOOKUP(C74,Operações!A:D,3,FALSE)))</f>
        <v>0</v>
      </c>
      <c r="F74" s="50">
        <f>IF(C74=0,0,IF(ISERROR(VLOOKUP(C74,Operações!A:D,4,FALSE)),0,VLOOKUP(C74,Operações!A:D,4,FALSE)))</f>
        <v>0</v>
      </c>
      <c r="G74" s="79">
        <f t="shared" si="6"/>
        <v>0</v>
      </c>
      <c r="H74" s="42"/>
      <c r="I74" s="42"/>
      <c r="J74" s="42"/>
      <c r="K74" s="42"/>
      <c r="L74" s="42"/>
      <c r="M74" s="42"/>
      <c r="N74" s="27">
        <f t="shared" si="4"/>
        <v>0</v>
      </c>
      <c r="O74" s="42"/>
      <c r="P74" s="42"/>
      <c r="Q74" s="42"/>
      <c r="R74" s="42"/>
      <c r="S74" s="42"/>
      <c r="T74" s="42"/>
      <c r="U74" s="42"/>
      <c r="V74" s="42"/>
      <c r="W74" s="42"/>
      <c r="X74" s="42"/>
    </row>
    <row r="75" spans="1:24" ht="18" customHeight="1" x14ac:dyDescent="0.25">
      <c r="A75" s="32" t="str">
        <f t="shared" si="5"/>
        <v>Não</v>
      </c>
      <c r="B75" s="8">
        <v>700</v>
      </c>
      <c r="C75" s="7"/>
      <c r="D75" s="44">
        <f>IF(C75=0,0,IF(ISERROR(VLOOKUP(C75,Operações!A:D,2,FALSE)),0,VLOOKUP(C75,Operações!A:D,2,FALSE)))</f>
        <v>0</v>
      </c>
      <c r="E75" s="44">
        <f>IF(C75=0,0,IF(ISERROR(VLOOKUP(C75,Operações!A:D,3,FALSE)),0,VLOOKUP(C75,Operações!A:D,3,FALSE)))</f>
        <v>0</v>
      </c>
      <c r="F75" s="50">
        <f>IF(C75=0,0,IF(ISERROR(VLOOKUP(C75,Operações!A:D,4,FALSE)),0,VLOOKUP(C75,Operações!A:D,4,FALSE)))</f>
        <v>0</v>
      </c>
      <c r="G75" s="79">
        <f t="shared" si="6"/>
        <v>0</v>
      </c>
      <c r="H75" s="42"/>
      <c r="I75" s="42"/>
      <c r="J75" s="42"/>
      <c r="K75" s="42"/>
      <c r="L75" s="42"/>
      <c r="M75" s="42"/>
      <c r="N75" s="27">
        <f t="shared" si="4"/>
        <v>0</v>
      </c>
      <c r="O75" s="42"/>
      <c r="P75" s="42"/>
      <c r="Q75" s="42"/>
      <c r="R75" s="42"/>
      <c r="S75" s="42"/>
      <c r="T75" s="42"/>
      <c r="U75" s="42"/>
      <c r="V75" s="42"/>
      <c r="W75" s="42"/>
      <c r="X75" s="42"/>
    </row>
    <row r="76" spans="1:24" ht="18" customHeight="1" x14ac:dyDescent="0.25">
      <c r="A76" s="32" t="str">
        <f t="shared" si="5"/>
        <v>Não</v>
      </c>
      <c r="B76" s="10">
        <v>710</v>
      </c>
      <c r="C76" s="7"/>
      <c r="D76" s="44">
        <f>IF(C76=0,0,IF(ISERROR(VLOOKUP(C76,Operações!A:D,2,FALSE)),0,VLOOKUP(C76,Operações!A:D,2,FALSE)))</f>
        <v>0</v>
      </c>
      <c r="E76" s="44">
        <f>IF(C76=0,0,IF(ISERROR(VLOOKUP(C76,Operações!A:D,3,FALSE)),0,VLOOKUP(C76,Operações!A:D,3,FALSE)))</f>
        <v>0</v>
      </c>
      <c r="F76" s="50">
        <f>IF(C76=0,0,IF(ISERROR(VLOOKUP(C76,Operações!A:D,4,FALSE)),0,VLOOKUP(C76,Operações!A:D,4,FALSE)))</f>
        <v>0</v>
      </c>
      <c r="G76" s="79">
        <f t="shared" si="6"/>
        <v>0</v>
      </c>
      <c r="H76" s="42"/>
      <c r="I76" s="42"/>
      <c r="J76" s="42"/>
      <c r="K76" s="42"/>
      <c r="L76" s="42"/>
      <c r="M76" s="42"/>
      <c r="N76" s="27">
        <f t="shared" si="4"/>
        <v>0</v>
      </c>
      <c r="O76" s="42"/>
      <c r="P76" s="42"/>
      <c r="Q76" s="42"/>
      <c r="R76" s="42"/>
      <c r="S76" s="42"/>
      <c r="T76" s="42"/>
      <c r="U76" s="42"/>
      <c r="V76" s="42"/>
      <c r="W76" s="42"/>
      <c r="X76" s="42"/>
    </row>
    <row r="77" spans="1:24" ht="18" customHeight="1" x14ac:dyDescent="0.25">
      <c r="A77" s="32" t="str">
        <f t="shared" si="5"/>
        <v>Não</v>
      </c>
      <c r="B77" s="8">
        <v>720</v>
      </c>
      <c r="C77" s="7"/>
      <c r="D77" s="44">
        <f>IF(C77=0,0,IF(ISERROR(VLOOKUP(C77,Operações!A:D,2,FALSE)),0,VLOOKUP(C77,Operações!A:D,2,FALSE)))</f>
        <v>0</v>
      </c>
      <c r="E77" s="44">
        <f>IF(C77=0,0,IF(ISERROR(VLOOKUP(C77,Operações!A:D,3,FALSE)),0,VLOOKUP(C77,Operações!A:D,3,FALSE)))</f>
        <v>0</v>
      </c>
      <c r="F77" s="50">
        <f>IF(C77=0,0,IF(ISERROR(VLOOKUP(C77,Operações!A:D,4,FALSE)),0,VLOOKUP(C77,Operações!A:D,4,FALSE)))</f>
        <v>0</v>
      </c>
      <c r="G77" s="79">
        <f t="shared" si="6"/>
        <v>0</v>
      </c>
      <c r="H77" s="42"/>
      <c r="I77" s="42"/>
      <c r="J77" s="42"/>
      <c r="K77" s="42"/>
      <c r="L77" s="42"/>
      <c r="M77" s="42"/>
      <c r="N77" s="27">
        <f t="shared" si="4"/>
        <v>0</v>
      </c>
      <c r="O77" s="42"/>
      <c r="P77" s="42"/>
      <c r="Q77" s="42"/>
      <c r="R77" s="42"/>
      <c r="S77" s="42"/>
      <c r="T77" s="42"/>
      <c r="U77" s="42"/>
      <c r="V77" s="42"/>
      <c r="W77" s="42"/>
      <c r="X77" s="42"/>
    </row>
    <row r="78" spans="1:24" ht="18" customHeight="1" x14ac:dyDescent="0.25">
      <c r="A78" s="32" t="str">
        <f t="shared" si="5"/>
        <v>Não</v>
      </c>
      <c r="B78" s="10">
        <v>730</v>
      </c>
      <c r="C78" s="7"/>
      <c r="D78" s="44">
        <f>IF(C78=0,0,IF(ISERROR(VLOOKUP(C78,Operações!A:D,2,FALSE)),0,VLOOKUP(C78,Operações!A:D,2,FALSE)))</f>
        <v>0</v>
      </c>
      <c r="E78" s="44">
        <f>IF(C78=0,0,IF(ISERROR(VLOOKUP(C78,Operações!A:D,3,FALSE)),0,VLOOKUP(C78,Operações!A:D,3,FALSE)))</f>
        <v>0</v>
      </c>
      <c r="F78" s="50">
        <f>IF(C78=0,0,IF(ISERROR(VLOOKUP(C78,Operações!A:D,4,FALSE)),0,VLOOKUP(C78,Operações!A:D,4,FALSE)))</f>
        <v>0</v>
      </c>
      <c r="G78" s="79">
        <f t="shared" si="6"/>
        <v>0</v>
      </c>
      <c r="H78" s="42"/>
      <c r="I78" s="42"/>
      <c r="J78" s="42"/>
      <c r="K78" s="42"/>
      <c r="L78" s="42"/>
      <c r="M78" s="42"/>
      <c r="N78" s="27">
        <f t="shared" si="4"/>
        <v>0</v>
      </c>
      <c r="O78" s="42"/>
      <c r="P78" s="42"/>
      <c r="Q78" s="42"/>
      <c r="R78" s="42"/>
      <c r="S78" s="42"/>
      <c r="T78" s="42"/>
      <c r="U78" s="42"/>
      <c r="V78" s="42"/>
      <c r="W78" s="42"/>
      <c r="X78" s="42"/>
    </row>
    <row r="79" spans="1:24" ht="18" customHeight="1" x14ac:dyDescent="0.25">
      <c r="A79" s="32" t="str">
        <f t="shared" si="5"/>
        <v>Não</v>
      </c>
      <c r="B79" s="8">
        <v>740</v>
      </c>
      <c r="C79" s="7"/>
      <c r="D79" s="44">
        <f>IF(C79=0,0,IF(ISERROR(VLOOKUP(C79,Operações!A:D,2,FALSE)),0,VLOOKUP(C79,Operações!A:D,2,FALSE)))</f>
        <v>0</v>
      </c>
      <c r="E79" s="44">
        <f>IF(C79=0,0,IF(ISERROR(VLOOKUP(C79,Operações!A:D,3,FALSE)),0,VLOOKUP(C79,Operações!A:D,3,FALSE)))</f>
        <v>0</v>
      </c>
      <c r="F79" s="50">
        <f>IF(C79=0,0,IF(ISERROR(VLOOKUP(C79,Operações!A:D,4,FALSE)),0,VLOOKUP(C79,Operações!A:D,4,FALSE)))</f>
        <v>0</v>
      </c>
      <c r="G79" s="79">
        <f t="shared" si="6"/>
        <v>0</v>
      </c>
      <c r="H79" s="42"/>
      <c r="I79" s="42"/>
      <c r="J79" s="42"/>
      <c r="K79" s="42"/>
      <c r="L79" s="42"/>
      <c r="M79" s="42"/>
      <c r="N79" s="27">
        <f t="shared" si="4"/>
        <v>0</v>
      </c>
      <c r="O79" s="42"/>
      <c r="P79" s="42"/>
      <c r="Q79" s="42"/>
      <c r="R79" s="42"/>
      <c r="S79" s="42"/>
      <c r="T79" s="42"/>
      <c r="U79" s="42"/>
      <c r="V79" s="42"/>
      <c r="W79" s="42"/>
      <c r="X79" s="42"/>
    </row>
    <row r="80" spans="1:24" ht="18" customHeight="1" x14ac:dyDescent="0.25">
      <c r="A80" s="32" t="str">
        <f t="shared" si="5"/>
        <v>Não</v>
      </c>
      <c r="B80" s="10">
        <v>750</v>
      </c>
      <c r="C80" s="7"/>
      <c r="D80" s="44">
        <f>IF(C80=0,0,IF(ISERROR(VLOOKUP(C80,Operações!A:D,2,FALSE)),0,VLOOKUP(C80,Operações!A:D,2,FALSE)))</f>
        <v>0</v>
      </c>
      <c r="E80" s="44">
        <f>IF(C80=0,0,IF(ISERROR(VLOOKUP(C80,Operações!A:D,3,FALSE)),0,VLOOKUP(C80,Operações!A:D,3,FALSE)))</f>
        <v>0</v>
      </c>
      <c r="F80" s="50">
        <f>IF(C80=0,0,IF(ISERROR(VLOOKUP(C80,Operações!A:D,4,FALSE)),0,VLOOKUP(C80,Operações!A:D,4,FALSE)))</f>
        <v>0</v>
      </c>
      <c r="G80" s="79">
        <f t="shared" si="6"/>
        <v>0</v>
      </c>
      <c r="H80" s="42"/>
      <c r="I80" s="42"/>
      <c r="J80" s="42"/>
      <c r="K80" s="42"/>
      <c r="L80" s="42"/>
      <c r="M80" s="42"/>
      <c r="N80" s="27">
        <f t="shared" si="4"/>
        <v>0</v>
      </c>
      <c r="O80" s="42"/>
      <c r="P80" s="42"/>
      <c r="Q80" s="42"/>
      <c r="R80" s="42"/>
      <c r="S80" s="42"/>
      <c r="T80" s="42"/>
      <c r="U80" s="42"/>
      <c r="V80" s="42"/>
      <c r="W80" s="42"/>
      <c r="X80" s="42"/>
    </row>
    <row r="81" spans="1:24" ht="18" customHeight="1" x14ac:dyDescent="0.25">
      <c r="A81" s="32" t="str">
        <f t="shared" si="5"/>
        <v>Não</v>
      </c>
      <c r="B81" s="8">
        <v>760</v>
      </c>
      <c r="C81" s="7"/>
      <c r="D81" s="44">
        <f>IF(C81=0,0,IF(ISERROR(VLOOKUP(C81,Operações!A:D,2,FALSE)),0,VLOOKUP(C81,Operações!A:D,2,FALSE)))</f>
        <v>0</v>
      </c>
      <c r="E81" s="44">
        <f>IF(C81=0,0,IF(ISERROR(VLOOKUP(C81,Operações!A:D,3,FALSE)),0,VLOOKUP(C81,Operações!A:D,3,FALSE)))</f>
        <v>0</v>
      </c>
      <c r="F81" s="50">
        <f>IF(C81=0,0,IF(ISERROR(VLOOKUP(C81,Operações!A:D,4,FALSE)),0,VLOOKUP(C81,Operações!A:D,4,FALSE)))</f>
        <v>0</v>
      </c>
      <c r="G81" s="79">
        <f t="shared" si="6"/>
        <v>0</v>
      </c>
      <c r="H81" s="42"/>
      <c r="I81" s="42"/>
      <c r="J81" s="42"/>
      <c r="K81" s="42"/>
      <c r="L81" s="42"/>
      <c r="M81" s="42"/>
      <c r="N81" s="27">
        <f t="shared" si="4"/>
        <v>0</v>
      </c>
      <c r="O81" s="42"/>
      <c r="P81" s="42"/>
      <c r="Q81" s="42"/>
      <c r="R81" s="42"/>
      <c r="S81" s="42"/>
      <c r="T81" s="42"/>
      <c r="U81" s="42"/>
      <c r="V81" s="42"/>
      <c r="W81" s="42"/>
      <c r="X81" s="42"/>
    </row>
    <row r="82" spans="1:24" ht="18" customHeight="1" x14ac:dyDescent="0.25">
      <c r="A82" s="32" t="str">
        <f t="shared" si="5"/>
        <v>Não</v>
      </c>
      <c r="B82" s="10">
        <v>770</v>
      </c>
      <c r="C82" s="7"/>
      <c r="D82" s="44">
        <f>IF(C82=0,0,IF(ISERROR(VLOOKUP(C82,Operações!A:D,2,FALSE)),0,VLOOKUP(C82,Operações!A:D,2,FALSE)))</f>
        <v>0</v>
      </c>
      <c r="E82" s="44">
        <f>IF(C82=0,0,IF(ISERROR(VLOOKUP(C82,Operações!A:D,3,FALSE)),0,VLOOKUP(C82,Operações!A:D,3,FALSE)))</f>
        <v>0</v>
      </c>
      <c r="F82" s="50">
        <f>IF(C82=0,0,IF(ISERROR(VLOOKUP(C82,Operações!A:D,4,FALSE)),0,VLOOKUP(C82,Operações!A:D,4,FALSE)))</f>
        <v>0</v>
      </c>
      <c r="G82" s="79">
        <f t="shared" si="6"/>
        <v>0</v>
      </c>
      <c r="H82" s="42"/>
      <c r="I82" s="42"/>
      <c r="J82" s="42"/>
      <c r="K82" s="42"/>
      <c r="L82" s="42"/>
      <c r="M82" s="42"/>
      <c r="N82" s="27">
        <f t="shared" si="4"/>
        <v>0</v>
      </c>
      <c r="O82" s="42"/>
      <c r="P82" s="42"/>
      <c r="Q82" s="42"/>
      <c r="R82" s="42"/>
      <c r="S82" s="42"/>
      <c r="T82" s="42"/>
      <c r="U82" s="42"/>
      <c r="V82" s="42"/>
      <c r="W82" s="42"/>
      <c r="X82" s="42"/>
    </row>
    <row r="83" spans="1:24" ht="18" customHeight="1" x14ac:dyDescent="0.25">
      <c r="A83" s="32" t="str">
        <f t="shared" si="5"/>
        <v>Não</v>
      </c>
      <c r="B83" s="8">
        <v>780</v>
      </c>
      <c r="C83" s="7"/>
      <c r="D83" s="44">
        <f>IF(C83=0,0,IF(ISERROR(VLOOKUP(C83,Operações!A:D,2,FALSE)),0,VLOOKUP(C83,Operações!A:D,2,FALSE)))</f>
        <v>0</v>
      </c>
      <c r="E83" s="44">
        <f>IF(C83=0,0,IF(ISERROR(VLOOKUP(C83,Operações!A:D,3,FALSE)),0,VLOOKUP(C83,Operações!A:D,3,FALSE)))</f>
        <v>0</v>
      </c>
      <c r="F83" s="50">
        <f>IF(C83=0,0,IF(ISERROR(VLOOKUP(C83,Operações!A:D,4,FALSE)),0,VLOOKUP(C83,Operações!A:D,4,FALSE)))</f>
        <v>0</v>
      </c>
      <c r="G83" s="79">
        <f t="shared" si="6"/>
        <v>0</v>
      </c>
      <c r="H83" s="42"/>
      <c r="I83" s="42"/>
      <c r="J83" s="42"/>
      <c r="K83" s="42"/>
      <c r="L83" s="42"/>
      <c r="M83" s="42"/>
      <c r="N83" s="27">
        <f t="shared" si="4"/>
        <v>0</v>
      </c>
      <c r="O83" s="42"/>
      <c r="P83" s="42"/>
      <c r="Q83" s="42"/>
      <c r="R83" s="42"/>
      <c r="S83" s="42"/>
      <c r="T83" s="42"/>
      <c r="U83" s="42"/>
      <c r="V83" s="42"/>
      <c r="W83" s="42"/>
      <c r="X83" s="42"/>
    </row>
    <row r="84" spans="1:24" ht="18" customHeight="1" x14ac:dyDescent="0.25">
      <c r="A84" s="32" t="str">
        <f t="shared" si="5"/>
        <v>Não</v>
      </c>
      <c r="B84" s="10">
        <v>790</v>
      </c>
      <c r="C84" s="7"/>
      <c r="D84" s="44">
        <f>IF(C84=0,0,IF(ISERROR(VLOOKUP(C84,Operações!A:D,2,FALSE)),0,VLOOKUP(C84,Operações!A:D,2,FALSE)))</f>
        <v>0</v>
      </c>
      <c r="E84" s="44">
        <f>IF(C84=0,0,IF(ISERROR(VLOOKUP(C84,Operações!A:D,3,FALSE)),0,VLOOKUP(C84,Operações!A:D,3,FALSE)))</f>
        <v>0</v>
      </c>
      <c r="F84" s="50">
        <f>IF(C84=0,0,IF(ISERROR(VLOOKUP(C84,Operações!A:D,4,FALSE)),0,VLOOKUP(C84,Operações!A:D,4,FALSE)))</f>
        <v>0</v>
      </c>
      <c r="G84" s="79">
        <f t="shared" si="6"/>
        <v>0</v>
      </c>
      <c r="H84" s="42"/>
      <c r="I84" s="42"/>
      <c r="J84" s="42"/>
      <c r="K84" s="42"/>
      <c r="L84" s="42"/>
      <c r="M84" s="42"/>
      <c r="N84" s="27">
        <f t="shared" si="4"/>
        <v>0</v>
      </c>
      <c r="O84" s="42"/>
      <c r="P84" s="42"/>
      <c r="Q84" s="42"/>
      <c r="R84" s="42"/>
      <c r="S84" s="42"/>
      <c r="T84" s="42"/>
      <c r="U84" s="42"/>
      <c r="V84" s="42"/>
      <c r="W84" s="42"/>
      <c r="X84" s="42"/>
    </row>
    <row r="85" spans="1:24" ht="18" customHeight="1" x14ac:dyDescent="0.25">
      <c r="A85" s="32" t="str">
        <f t="shared" si="5"/>
        <v>Não</v>
      </c>
      <c r="B85" s="8">
        <v>800</v>
      </c>
      <c r="C85" s="7"/>
      <c r="D85" s="44">
        <f>IF(C85=0,0,IF(ISERROR(VLOOKUP(C85,Operações!A:D,2,FALSE)),0,VLOOKUP(C85,Operações!A:D,2,FALSE)))</f>
        <v>0</v>
      </c>
      <c r="E85" s="44">
        <f>IF(C85=0,0,IF(ISERROR(VLOOKUP(C85,Operações!A:D,3,FALSE)),0,VLOOKUP(C85,Operações!A:D,3,FALSE)))</f>
        <v>0</v>
      </c>
      <c r="F85" s="50">
        <f>IF(C85=0,0,IF(ISERROR(VLOOKUP(C85,Operações!A:D,4,FALSE)),0,VLOOKUP(C85,Operações!A:D,4,FALSE)))</f>
        <v>0</v>
      </c>
      <c r="G85" s="79">
        <f t="shared" si="6"/>
        <v>0</v>
      </c>
      <c r="H85" s="42"/>
      <c r="I85" s="42"/>
      <c r="J85" s="42"/>
      <c r="K85" s="42"/>
      <c r="L85" s="42"/>
      <c r="M85" s="42"/>
      <c r="N85" s="27">
        <f t="shared" si="4"/>
        <v>0</v>
      </c>
      <c r="O85" s="42"/>
      <c r="P85" s="42"/>
      <c r="Q85" s="42"/>
      <c r="R85" s="42"/>
      <c r="S85" s="42"/>
      <c r="T85" s="42"/>
      <c r="U85" s="42"/>
      <c r="V85" s="42"/>
      <c r="W85" s="42"/>
      <c r="X85" s="42"/>
    </row>
    <row r="86" spans="1:24" ht="18" customHeight="1" x14ac:dyDescent="0.25">
      <c r="A86" s="32" t="str">
        <f t="shared" si="5"/>
        <v>Não</v>
      </c>
      <c r="B86" s="10">
        <v>810</v>
      </c>
      <c r="C86" s="7"/>
      <c r="D86" s="44">
        <f>IF(C86=0,0,IF(ISERROR(VLOOKUP(C86,Operações!A:D,2,FALSE)),0,VLOOKUP(C86,Operações!A:D,2,FALSE)))</f>
        <v>0</v>
      </c>
      <c r="E86" s="44">
        <f>IF(C86=0,0,IF(ISERROR(VLOOKUP(C86,Operações!A:D,3,FALSE)),0,VLOOKUP(C86,Operações!A:D,3,FALSE)))</f>
        <v>0</v>
      </c>
      <c r="F86" s="50">
        <f>IF(C86=0,0,IF(ISERROR(VLOOKUP(C86,Operações!A:D,4,FALSE)),0,VLOOKUP(C86,Operações!A:D,4,FALSE)))</f>
        <v>0</v>
      </c>
      <c r="G86" s="79">
        <f t="shared" si="6"/>
        <v>0</v>
      </c>
      <c r="H86" s="42"/>
      <c r="I86" s="42"/>
      <c r="J86" s="42"/>
      <c r="K86" s="42"/>
      <c r="L86" s="42"/>
      <c r="M86" s="42"/>
      <c r="N86" s="27">
        <f t="shared" si="4"/>
        <v>0</v>
      </c>
      <c r="O86" s="42"/>
      <c r="P86" s="42"/>
      <c r="Q86" s="42"/>
      <c r="R86" s="42"/>
      <c r="S86" s="42"/>
      <c r="T86" s="42"/>
      <c r="U86" s="42"/>
      <c r="V86" s="42"/>
      <c r="W86" s="42"/>
      <c r="X86" s="42"/>
    </row>
    <row r="87" spans="1:24" ht="18" customHeight="1" x14ac:dyDescent="0.25">
      <c r="A87" s="32" t="str">
        <f t="shared" si="5"/>
        <v>Não</v>
      </c>
      <c r="B87" s="8">
        <v>820</v>
      </c>
      <c r="C87" s="7"/>
      <c r="D87" s="44">
        <f>IF(C87=0,0,IF(ISERROR(VLOOKUP(C87,Operações!A:D,2,FALSE)),0,VLOOKUP(C87,Operações!A:D,2,FALSE)))</f>
        <v>0</v>
      </c>
      <c r="E87" s="44">
        <f>IF(C87=0,0,IF(ISERROR(VLOOKUP(C87,Operações!A:D,3,FALSE)),0,VLOOKUP(C87,Operações!A:D,3,FALSE)))</f>
        <v>0</v>
      </c>
      <c r="F87" s="50">
        <f>IF(C87=0,0,IF(ISERROR(VLOOKUP(C87,Operações!A:D,4,FALSE)),0,VLOOKUP(C87,Operações!A:D,4,FALSE)))</f>
        <v>0</v>
      </c>
      <c r="G87" s="79">
        <f t="shared" si="6"/>
        <v>0</v>
      </c>
      <c r="H87" s="42"/>
      <c r="I87" s="42"/>
      <c r="J87" s="42"/>
      <c r="K87" s="42"/>
      <c r="L87" s="42"/>
      <c r="M87" s="42"/>
      <c r="N87" s="27">
        <f t="shared" si="4"/>
        <v>0</v>
      </c>
      <c r="O87" s="42"/>
      <c r="P87" s="42"/>
      <c r="Q87" s="42"/>
      <c r="R87" s="42"/>
      <c r="S87" s="42"/>
      <c r="T87" s="42"/>
      <c r="U87" s="42"/>
      <c r="V87" s="42"/>
      <c r="W87" s="42"/>
      <c r="X87" s="42"/>
    </row>
    <row r="88" spans="1:24" ht="18" customHeight="1" x14ac:dyDescent="0.25">
      <c r="A88" s="32" t="str">
        <f t="shared" si="5"/>
        <v>Não</v>
      </c>
      <c r="B88" s="10">
        <v>830</v>
      </c>
      <c r="C88" s="7"/>
      <c r="D88" s="44">
        <f>IF(C88=0,0,IF(ISERROR(VLOOKUP(C88,Operações!A:D,2,FALSE)),0,VLOOKUP(C88,Operações!A:D,2,FALSE)))</f>
        <v>0</v>
      </c>
      <c r="E88" s="44">
        <f>IF(C88=0,0,IF(ISERROR(VLOOKUP(C88,Operações!A:D,3,FALSE)),0,VLOOKUP(C88,Operações!A:D,3,FALSE)))</f>
        <v>0</v>
      </c>
      <c r="F88" s="50">
        <f>IF(C88=0,0,IF(ISERROR(VLOOKUP(C88,Operações!A:D,4,FALSE)),0,VLOOKUP(C88,Operações!A:D,4,FALSE)))</f>
        <v>0</v>
      </c>
      <c r="G88" s="79">
        <f t="shared" si="6"/>
        <v>0</v>
      </c>
      <c r="H88" s="42"/>
      <c r="I88" s="42"/>
      <c r="J88" s="42"/>
      <c r="K88" s="42"/>
      <c r="L88" s="42"/>
      <c r="M88" s="42"/>
      <c r="N88" s="27">
        <f t="shared" si="4"/>
        <v>0</v>
      </c>
      <c r="O88" s="42"/>
      <c r="P88" s="42"/>
      <c r="Q88" s="42"/>
      <c r="R88" s="42"/>
      <c r="S88" s="42"/>
      <c r="T88" s="42"/>
      <c r="U88" s="42"/>
      <c r="V88" s="42"/>
      <c r="W88" s="42"/>
      <c r="X88" s="42"/>
    </row>
    <row r="89" spans="1:24" ht="18" customHeight="1" x14ac:dyDescent="0.25">
      <c r="A89" s="32" t="str">
        <f t="shared" si="5"/>
        <v>Não</v>
      </c>
      <c r="B89" s="8">
        <v>840</v>
      </c>
      <c r="C89" s="7"/>
      <c r="D89" s="44">
        <f>IF(C89=0,0,IF(ISERROR(VLOOKUP(C89,Operações!A:D,2,FALSE)),0,VLOOKUP(C89,Operações!A:D,2,FALSE)))</f>
        <v>0</v>
      </c>
      <c r="E89" s="44">
        <f>IF(C89=0,0,IF(ISERROR(VLOOKUP(C89,Operações!A:D,3,FALSE)),0,VLOOKUP(C89,Operações!A:D,3,FALSE)))</f>
        <v>0</v>
      </c>
      <c r="F89" s="50">
        <f>IF(C89=0,0,IF(ISERROR(VLOOKUP(C89,Operações!A:D,4,FALSE)),0,VLOOKUP(C89,Operações!A:D,4,FALSE)))</f>
        <v>0</v>
      </c>
      <c r="G89" s="79">
        <f t="shared" si="6"/>
        <v>0</v>
      </c>
      <c r="H89" s="42"/>
      <c r="I89" s="42"/>
      <c r="J89" s="42"/>
      <c r="K89" s="42"/>
      <c r="L89" s="42"/>
      <c r="M89" s="42"/>
      <c r="N89" s="27">
        <f t="shared" si="4"/>
        <v>0</v>
      </c>
      <c r="O89" s="42"/>
      <c r="P89" s="42"/>
      <c r="Q89" s="42"/>
      <c r="R89" s="42"/>
      <c r="S89" s="42"/>
      <c r="T89" s="42"/>
      <c r="U89" s="42"/>
      <c r="V89" s="42"/>
      <c r="W89" s="42"/>
      <c r="X89" s="42"/>
    </row>
    <row r="90" spans="1:24" ht="18" customHeight="1" x14ac:dyDescent="0.25">
      <c r="A90" s="32" t="str">
        <f t="shared" si="5"/>
        <v>Não</v>
      </c>
      <c r="B90" s="10">
        <v>850</v>
      </c>
      <c r="C90" s="7"/>
      <c r="D90" s="44">
        <f>IF(C90=0,0,IF(ISERROR(VLOOKUP(C90,Operações!A:D,2,FALSE)),0,VLOOKUP(C90,Operações!A:D,2,FALSE)))</f>
        <v>0</v>
      </c>
      <c r="E90" s="44">
        <f>IF(C90=0,0,IF(ISERROR(VLOOKUP(C90,Operações!A:D,3,FALSE)),0,VLOOKUP(C90,Operações!A:D,3,FALSE)))</f>
        <v>0</v>
      </c>
      <c r="F90" s="50">
        <f>IF(C90=0,0,IF(ISERROR(VLOOKUP(C90,Operações!A:D,4,FALSE)),0,VLOOKUP(C90,Operações!A:D,4,FALSE)))</f>
        <v>0</v>
      </c>
      <c r="G90" s="79">
        <f t="shared" si="6"/>
        <v>0</v>
      </c>
      <c r="H90" s="42"/>
      <c r="I90" s="42"/>
      <c r="J90" s="42"/>
      <c r="K90" s="42"/>
      <c r="L90" s="42"/>
      <c r="M90" s="42"/>
      <c r="N90" s="27">
        <f t="shared" si="4"/>
        <v>0</v>
      </c>
      <c r="O90" s="42"/>
      <c r="P90" s="42"/>
      <c r="Q90" s="42"/>
      <c r="R90" s="42"/>
      <c r="S90" s="42"/>
      <c r="T90" s="42"/>
      <c r="U90" s="42"/>
      <c r="V90" s="42"/>
      <c r="W90" s="42"/>
      <c r="X90" s="42"/>
    </row>
    <row r="91" spans="1:24" ht="18" customHeight="1" x14ac:dyDescent="0.25">
      <c r="A91" s="32" t="str">
        <f t="shared" si="5"/>
        <v>Não</v>
      </c>
      <c r="B91" s="8">
        <v>860</v>
      </c>
      <c r="C91" s="7"/>
      <c r="D91" s="44">
        <f>IF(C91=0,0,IF(ISERROR(VLOOKUP(C91,Operações!A:D,2,FALSE)),0,VLOOKUP(C91,Operações!A:D,2,FALSE)))</f>
        <v>0</v>
      </c>
      <c r="E91" s="44">
        <f>IF(C91=0,0,IF(ISERROR(VLOOKUP(C91,Operações!A:D,3,FALSE)),0,VLOOKUP(C91,Operações!A:D,3,FALSE)))</f>
        <v>0</v>
      </c>
      <c r="F91" s="50">
        <f>IF(C91=0,0,IF(ISERROR(VLOOKUP(C91,Operações!A:D,4,FALSE)),0,VLOOKUP(C91,Operações!A:D,4,FALSE)))</f>
        <v>0</v>
      </c>
      <c r="G91" s="79">
        <f t="shared" si="6"/>
        <v>0</v>
      </c>
      <c r="H91" s="42"/>
      <c r="I91" s="42"/>
      <c r="J91" s="42"/>
      <c r="K91" s="42"/>
      <c r="L91" s="42"/>
      <c r="M91" s="42"/>
      <c r="N91" s="27">
        <f t="shared" si="4"/>
        <v>0</v>
      </c>
      <c r="O91" s="42"/>
      <c r="P91" s="42"/>
      <c r="Q91" s="42"/>
      <c r="R91" s="42"/>
      <c r="S91" s="42"/>
      <c r="T91" s="42"/>
      <c r="U91" s="42"/>
      <c r="V91" s="42"/>
      <c r="W91" s="42"/>
      <c r="X91" s="42"/>
    </row>
    <row r="92" spans="1:24" ht="18" customHeight="1" x14ac:dyDescent="0.25">
      <c r="A92" s="32" t="str">
        <f t="shared" si="5"/>
        <v>Não</v>
      </c>
      <c r="B92" s="10">
        <v>870</v>
      </c>
      <c r="C92" s="7"/>
      <c r="D92" s="44">
        <f>IF(C92=0,0,IF(ISERROR(VLOOKUP(C92,Operações!A:D,2,FALSE)),0,VLOOKUP(C92,Operações!A:D,2,FALSE)))</f>
        <v>0</v>
      </c>
      <c r="E92" s="44">
        <f>IF(C92=0,0,IF(ISERROR(VLOOKUP(C92,Operações!A:D,3,FALSE)),0,VLOOKUP(C92,Operações!A:D,3,FALSE)))</f>
        <v>0</v>
      </c>
      <c r="F92" s="50">
        <f>IF(C92=0,0,IF(ISERROR(VLOOKUP(C92,Operações!A:D,4,FALSE)),0,VLOOKUP(C92,Operações!A:D,4,FALSE)))</f>
        <v>0</v>
      </c>
      <c r="G92" s="79">
        <f t="shared" si="6"/>
        <v>0</v>
      </c>
      <c r="H92" s="42"/>
      <c r="I92" s="42"/>
      <c r="J92" s="42"/>
      <c r="K92" s="42"/>
      <c r="L92" s="42"/>
      <c r="M92" s="42"/>
      <c r="N92" s="27">
        <f t="shared" si="4"/>
        <v>0</v>
      </c>
      <c r="O92" s="42"/>
      <c r="P92" s="42"/>
      <c r="Q92" s="42"/>
      <c r="R92" s="42"/>
      <c r="S92" s="42"/>
      <c r="T92" s="42"/>
      <c r="U92" s="42"/>
      <c r="V92" s="42"/>
      <c r="W92" s="42"/>
      <c r="X92" s="42"/>
    </row>
    <row r="93" spans="1:24" ht="18" customHeight="1" x14ac:dyDescent="0.25">
      <c r="A93" s="32" t="str">
        <f t="shared" si="5"/>
        <v>Não</v>
      </c>
      <c r="B93" s="8">
        <v>880</v>
      </c>
      <c r="C93" s="7"/>
      <c r="D93" s="44">
        <f>IF(C93=0,0,IF(ISERROR(VLOOKUP(C93,Operações!A:D,2,FALSE)),0,VLOOKUP(C93,Operações!A:D,2,FALSE)))</f>
        <v>0</v>
      </c>
      <c r="E93" s="44">
        <f>IF(C93=0,0,IF(ISERROR(VLOOKUP(C93,Operações!A:D,3,FALSE)),0,VLOOKUP(C93,Operações!A:D,3,FALSE)))</f>
        <v>0</v>
      </c>
      <c r="F93" s="50">
        <f>IF(C93=0,0,IF(ISERROR(VLOOKUP(C93,Operações!A:D,4,FALSE)),0,VLOOKUP(C93,Operações!A:D,4,FALSE)))</f>
        <v>0</v>
      </c>
      <c r="G93" s="79">
        <f t="shared" si="6"/>
        <v>0</v>
      </c>
      <c r="H93" s="42"/>
      <c r="I93" s="42"/>
      <c r="J93" s="42"/>
      <c r="K93" s="42"/>
      <c r="L93" s="42"/>
      <c r="M93" s="42"/>
      <c r="N93" s="27">
        <f t="shared" si="4"/>
        <v>0</v>
      </c>
      <c r="O93" s="42"/>
      <c r="P93" s="42"/>
      <c r="Q93" s="42"/>
      <c r="R93" s="42"/>
      <c r="S93" s="42"/>
      <c r="T93" s="42"/>
      <c r="U93" s="42"/>
      <c r="V93" s="42"/>
      <c r="W93" s="42"/>
      <c r="X93" s="42"/>
    </row>
    <row r="94" spans="1:24" ht="18" customHeight="1" x14ac:dyDescent="0.25">
      <c r="A94" s="32" t="str">
        <f t="shared" si="5"/>
        <v>Não</v>
      </c>
      <c r="B94" s="10">
        <v>890</v>
      </c>
      <c r="C94" s="7"/>
      <c r="D94" s="44">
        <f>IF(C94=0,0,IF(ISERROR(VLOOKUP(C94,Operações!A:D,2,FALSE)),0,VLOOKUP(C94,Operações!A:D,2,FALSE)))</f>
        <v>0</v>
      </c>
      <c r="E94" s="44">
        <f>IF(C94=0,0,IF(ISERROR(VLOOKUP(C94,Operações!A:D,3,FALSE)),0,VLOOKUP(C94,Operações!A:D,3,FALSE)))</f>
        <v>0</v>
      </c>
      <c r="F94" s="50">
        <f>IF(C94=0,0,IF(ISERROR(VLOOKUP(C94,Operações!A:D,4,FALSE)),0,VLOOKUP(C94,Operações!A:D,4,FALSE)))</f>
        <v>0</v>
      </c>
      <c r="G94" s="79">
        <f t="shared" si="6"/>
        <v>0</v>
      </c>
      <c r="H94" s="42"/>
      <c r="I94" s="42"/>
      <c r="J94" s="42"/>
      <c r="K94" s="42"/>
      <c r="L94" s="42"/>
      <c r="M94" s="42"/>
      <c r="N94" s="27">
        <f t="shared" si="4"/>
        <v>0</v>
      </c>
      <c r="O94" s="42"/>
      <c r="P94" s="42"/>
      <c r="Q94" s="42"/>
      <c r="R94" s="42"/>
      <c r="S94" s="42"/>
      <c r="T94" s="42"/>
      <c r="U94" s="42"/>
      <c r="V94" s="42"/>
      <c r="W94" s="42"/>
      <c r="X94" s="42"/>
    </row>
    <row r="95" spans="1:24" ht="18" customHeight="1" x14ac:dyDescent="0.25">
      <c r="A95" s="32" t="str">
        <f t="shared" si="5"/>
        <v>Não</v>
      </c>
      <c r="B95" s="8">
        <v>900</v>
      </c>
      <c r="C95" s="7"/>
      <c r="D95" s="44">
        <f>IF(C95=0,0,IF(ISERROR(VLOOKUP(C95,Operações!A:D,2,FALSE)),0,VLOOKUP(C95,Operações!A:D,2,FALSE)))</f>
        <v>0</v>
      </c>
      <c r="E95" s="44">
        <f>IF(C95=0,0,IF(ISERROR(VLOOKUP(C95,Operações!A:D,3,FALSE)),0,VLOOKUP(C95,Operações!A:D,3,FALSE)))</f>
        <v>0</v>
      </c>
      <c r="F95" s="50">
        <f>IF(C95=0,0,IF(ISERROR(VLOOKUP(C95,Operações!A:D,4,FALSE)),0,VLOOKUP(C95,Operações!A:D,4,FALSE)))</f>
        <v>0</v>
      </c>
      <c r="G95" s="79">
        <f t="shared" si="6"/>
        <v>0</v>
      </c>
      <c r="H95" s="42"/>
      <c r="I95" s="42"/>
      <c r="J95" s="42"/>
      <c r="K95" s="42"/>
      <c r="L95" s="42"/>
      <c r="M95" s="42"/>
      <c r="N95" s="27">
        <f t="shared" si="4"/>
        <v>0</v>
      </c>
      <c r="O95" s="42"/>
      <c r="P95" s="42"/>
      <c r="Q95" s="42"/>
      <c r="R95" s="42"/>
      <c r="S95" s="42"/>
      <c r="T95" s="42"/>
      <c r="U95" s="42"/>
      <c r="V95" s="42"/>
      <c r="W95" s="42"/>
      <c r="X95" s="42"/>
    </row>
    <row r="96" spans="1:24" ht="18" customHeight="1" x14ac:dyDescent="0.25">
      <c r="A96" s="32" t="str">
        <f t="shared" si="5"/>
        <v>Não</v>
      </c>
      <c r="B96" s="10">
        <v>910</v>
      </c>
      <c r="C96" s="7"/>
      <c r="D96" s="44">
        <f>IF(C96=0,0,IF(ISERROR(VLOOKUP(C96,Operações!A:D,2,FALSE)),0,VLOOKUP(C96,Operações!A:D,2,FALSE)))</f>
        <v>0</v>
      </c>
      <c r="E96" s="44">
        <f>IF(C96=0,0,IF(ISERROR(VLOOKUP(C96,Operações!A:D,3,FALSE)),0,VLOOKUP(C96,Operações!A:D,3,FALSE)))</f>
        <v>0</v>
      </c>
      <c r="F96" s="50">
        <f>IF(C96=0,0,IF(ISERROR(VLOOKUP(C96,Operações!A:D,4,FALSE)),0,VLOOKUP(C96,Operações!A:D,4,FALSE)))</f>
        <v>0</v>
      </c>
      <c r="G96" s="79">
        <f t="shared" si="6"/>
        <v>0</v>
      </c>
      <c r="H96" s="42"/>
      <c r="I96" s="42"/>
      <c r="J96" s="42"/>
      <c r="K96" s="42"/>
      <c r="L96" s="42"/>
      <c r="M96" s="42"/>
      <c r="N96" s="27">
        <f t="shared" si="4"/>
        <v>0</v>
      </c>
      <c r="O96" s="42"/>
      <c r="P96" s="42"/>
      <c r="Q96" s="42"/>
      <c r="R96" s="42"/>
      <c r="S96" s="42"/>
      <c r="T96" s="42"/>
      <c r="U96" s="42"/>
      <c r="V96" s="42"/>
      <c r="W96" s="42"/>
      <c r="X96" s="42"/>
    </row>
    <row r="97" spans="1:24" ht="18" customHeight="1" x14ac:dyDescent="0.25">
      <c r="A97" s="32" t="str">
        <f t="shared" si="5"/>
        <v>Não</v>
      </c>
      <c r="B97" s="8">
        <v>920</v>
      </c>
      <c r="C97" s="7"/>
      <c r="D97" s="44">
        <f>IF(C97=0,0,IF(ISERROR(VLOOKUP(C97,Operações!A:D,2,FALSE)),0,VLOOKUP(C97,Operações!A:D,2,FALSE)))</f>
        <v>0</v>
      </c>
      <c r="E97" s="44">
        <f>IF(C97=0,0,IF(ISERROR(VLOOKUP(C97,Operações!A:D,3,FALSE)),0,VLOOKUP(C97,Operações!A:D,3,FALSE)))</f>
        <v>0</v>
      </c>
      <c r="F97" s="50">
        <f>IF(C97=0,0,IF(ISERROR(VLOOKUP(C97,Operações!A:D,4,FALSE)),0,VLOOKUP(C97,Operações!A:D,4,FALSE)))</f>
        <v>0</v>
      </c>
      <c r="G97" s="79">
        <f t="shared" si="6"/>
        <v>0</v>
      </c>
      <c r="H97" s="42"/>
      <c r="I97" s="42"/>
      <c r="J97" s="42"/>
      <c r="K97" s="42"/>
      <c r="L97" s="42"/>
      <c r="M97" s="42"/>
      <c r="N97" s="27">
        <f t="shared" si="4"/>
        <v>0</v>
      </c>
      <c r="O97" s="42"/>
      <c r="P97" s="42"/>
      <c r="Q97" s="42"/>
      <c r="R97" s="42"/>
      <c r="S97" s="42"/>
      <c r="T97" s="42"/>
      <c r="U97" s="42"/>
      <c r="V97" s="42"/>
      <c r="W97" s="42"/>
      <c r="X97" s="42"/>
    </row>
    <row r="98" spans="1:24" ht="18" customHeight="1" x14ac:dyDescent="0.25">
      <c r="A98" s="32" t="str">
        <f t="shared" si="5"/>
        <v>Não</v>
      </c>
      <c r="B98" s="10">
        <v>930</v>
      </c>
      <c r="C98" s="7"/>
      <c r="D98" s="44">
        <f>IF(C98=0,0,IF(ISERROR(VLOOKUP(C98,Operações!A:D,2,FALSE)),0,VLOOKUP(C98,Operações!A:D,2,FALSE)))</f>
        <v>0</v>
      </c>
      <c r="E98" s="44">
        <f>IF(C98=0,0,IF(ISERROR(VLOOKUP(C98,Operações!A:D,3,FALSE)),0,VLOOKUP(C98,Operações!A:D,3,FALSE)))</f>
        <v>0</v>
      </c>
      <c r="F98" s="50">
        <f>IF(C98=0,0,IF(ISERROR(VLOOKUP(C98,Operações!A:D,4,FALSE)),0,VLOOKUP(C98,Operações!A:D,4,FALSE)))</f>
        <v>0</v>
      </c>
      <c r="G98" s="79">
        <f t="shared" si="6"/>
        <v>0</v>
      </c>
      <c r="H98" s="42"/>
      <c r="I98" s="42"/>
      <c r="J98" s="42"/>
      <c r="K98" s="42"/>
      <c r="L98" s="42"/>
      <c r="M98" s="42"/>
      <c r="N98" s="27">
        <f t="shared" si="4"/>
        <v>0</v>
      </c>
      <c r="O98" s="42"/>
      <c r="P98" s="42"/>
      <c r="Q98" s="42"/>
      <c r="R98" s="42"/>
      <c r="S98" s="42"/>
      <c r="T98" s="42"/>
      <c r="U98" s="42"/>
      <c r="V98" s="42"/>
      <c r="W98" s="42"/>
      <c r="X98" s="42"/>
    </row>
    <row r="99" spans="1:24" ht="18" customHeight="1" x14ac:dyDescent="0.25">
      <c r="A99" s="32" t="str">
        <f t="shared" si="5"/>
        <v>Não</v>
      </c>
      <c r="B99" s="8">
        <v>940</v>
      </c>
      <c r="C99" s="7"/>
      <c r="D99" s="44">
        <f>IF(C99=0,0,IF(ISERROR(VLOOKUP(C99,Operações!A:D,2,FALSE)),0,VLOOKUP(C99,Operações!A:D,2,FALSE)))</f>
        <v>0</v>
      </c>
      <c r="E99" s="44">
        <f>IF(C99=0,0,IF(ISERROR(VLOOKUP(C99,Operações!A:D,3,FALSE)),0,VLOOKUP(C99,Operações!A:D,3,FALSE)))</f>
        <v>0</v>
      </c>
      <c r="F99" s="50">
        <f>IF(C99=0,0,IF(ISERROR(VLOOKUP(C99,Operações!A:D,4,FALSE)),0,VLOOKUP(C99,Operações!A:D,4,FALSE)))</f>
        <v>0</v>
      </c>
      <c r="G99" s="79">
        <f t="shared" si="6"/>
        <v>0</v>
      </c>
      <c r="H99" s="42"/>
      <c r="I99" s="42"/>
      <c r="J99" s="42"/>
      <c r="K99" s="42"/>
      <c r="L99" s="42"/>
      <c r="M99" s="42"/>
      <c r="N99" s="27">
        <f t="shared" si="4"/>
        <v>0</v>
      </c>
      <c r="O99" s="42"/>
      <c r="P99" s="42"/>
      <c r="Q99" s="42"/>
      <c r="R99" s="42"/>
      <c r="S99" s="42"/>
      <c r="T99" s="42"/>
      <c r="U99" s="42"/>
      <c r="V99" s="42"/>
      <c r="W99" s="42"/>
      <c r="X99" s="42"/>
    </row>
    <row r="100" spans="1:24" ht="18" customHeight="1" x14ac:dyDescent="0.25">
      <c r="A100" s="32" t="str">
        <f t="shared" si="5"/>
        <v>Não</v>
      </c>
      <c r="B100" s="10">
        <v>950</v>
      </c>
      <c r="C100" s="7"/>
      <c r="D100" s="44">
        <f>IF(C100=0,0,IF(ISERROR(VLOOKUP(C100,Operações!A:D,2,FALSE)),0,VLOOKUP(C100,Operações!A:D,2,FALSE)))</f>
        <v>0</v>
      </c>
      <c r="E100" s="44">
        <f>IF(C100=0,0,IF(ISERROR(VLOOKUP(C100,Operações!A:D,3,FALSE)),0,VLOOKUP(C100,Operações!A:D,3,FALSE)))</f>
        <v>0</v>
      </c>
      <c r="F100" s="50">
        <f>IF(C100=0,0,IF(ISERROR(VLOOKUP(C100,Operações!A:D,4,FALSE)),0,VLOOKUP(C100,Operações!A:D,4,FALSE)))</f>
        <v>0</v>
      </c>
      <c r="G100" s="79">
        <f t="shared" si="6"/>
        <v>0</v>
      </c>
      <c r="H100" s="42"/>
      <c r="I100" s="42"/>
      <c r="J100" s="42"/>
      <c r="K100" s="42"/>
      <c r="L100" s="42"/>
      <c r="M100" s="42"/>
      <c r="N100" s="27">
        <f t="shared" si="4"/>
        <v>0</v>
      </c>
      <c r="O100" s="42"/>
      <c r="P100" s="42"/>
      <c r="Q100" s="42"/>
      <c r="R100" s="42"/>
      <c r="S100" s="42"/>
      <c r="T100" s="42"/>
      <c r="U100" s="42"/>
      <c r="V100" s="42"/>
      <c r="W100" s="42"/>
      <c r="X100" s="42"/>
    </row>
    <row r="101" spans="1:24" ht="18" customHeight="1" x14ac:dyDescent="0.25">
      <c r="A101" s="32" t="str">
        <f t="shared" si="5"/>
        <v>Não</v>
      </c>
      <c r="B101" s="8">
        <v>960</v>
      </c>
      <c r="C101" s="7"/>
      <c r="D101" s="44">
        <f>IF(C101=0,0,IF(ISERROR(VLOOKUP(C101,Operações!A:D,2,FALSE)),0,VLOOKUP(C101,Operações!A:D,2,FALSE)))</f>
        <v>0</v>
      </c>
      <c r="E101" s="44">
        <f>IF(C101=0,0,IF(ISERROR(VLOOKUP(C101,Operações!A:D,3,FALSE)),0,VLOOKUP(C101,Operações!A:D,3,FALSE)))</f>
        <v>0</v>
      </c>
      <c r="F101" s="50">
        <f>IF(C101=0,0,IF(ISERROR(VLOOKUP(C101,Operações!A:D,4,FALSE)),0,VLOOKUP(C101,Operações!A:D,4,FALSE)))</f>
        <v>0</v>
      </c>
      <c r="G101" s="79">
        <f t="shared" si="6"/>
        <v>0</v>
      </c>
      <c r="H101" s="42"/>
      <c r="I101" s="42"/>
      <c r="J101" s="42"/>
      <c r="K101" s="42"/>
      <c r="L101" s="42"/>
      <c r="M101" s="42"/>
      <c r="N101" s="27">
        <f t="shared" si="4"/>
        <v>0</v>
      </c>
      <c r="O101" s="42"/>
      <c r="P101" s="42"/>
      <c r="Q101" s="42"/>
      <c r="R101" s="42"/>
      <c r="S101" s="42"/>
      <c r="T101" s="42"/>
      <c r="U101" s="42"/>
      <c r="V101" s="42"/>
      <c r="W101" s="42"/>
      <c r="X101" s="42"/>
    </row>
    <row r="102" spans="1:24" ht="18" customHeight="1" x14ac:dyDescent="0.25">
      <c r="A102" s="32" t="str">
        <f t="shared" si="5"/>
        <v>Não</v>
      </c>
      <c r="B102" s="10">
        <v>970</v>
      </c>
      <c r="C102" s="7"/>
      <c r="D102" s="44">
        <f>IF(C102=0,0,IF(ISERROR(VLOOKUP(C102,Operações!A:D,2,FALSE)),0,VLOOKUP(C102,Operações!A:D,2,FALSE)))</f>
        <v>0</v>
      </c>
      <c r="E102" s="44">
        <f>IF(C102=0,0,IF(ISERROR(VLOOKUP(C102,Operações!A:D,3,FALSE)),0,VLOOKUP(C102,Operações!A:D,3,FALSE)))</f>
        <v>0</v>
      </c>
      <c r="F102" s="50">
        <f>IF(C102=0,0,IF(ISERROR(VLOOKUP(C102,Operações!A:D,4,FALSE)),0,VLOOKUP(C102,Operações!A:D,4,FALSE)))</f>
        <v>0</v>
      </c>
      <c r="G102" s="79">
        <f t="shared" si="6"/>
        <v>0</v>
      </c>
      <c r="H102" s="42"/>
      <c r="I102" s="42"/>
      <c r="J102" s="42"/>
      <c r="K102" s="42"/>
      <c r="L102" s="42"/>
      <c r="M102" s="42"/>
      <c r="N102" s="27">
        <f t="shared" ref="N102:N125" si="7">IF(C102=0,0,IF(AND(D102&lt;&gt;0,F102&lt;&gt;0),0,1))</f>
        <v>0</v>
      </c>
      <c r="O102" s="42"/>
      <c r="P102" s="42"/>
      <c r="Q102" s="42"/>
      <c r="R102" s="42"/>
      <c r="S102" s="42"/>
      <c r="T102" s="42"/>
      <c r="U102" s="42"/>
      <c r="V102" s="42"/>
      <c r="W102" s="42"/>
      <c r="X102" s="42"/>
    </row>
    <row r="103" spans="1:24" ht="18" customHeight="1" x14ac:dyDescent="0.25">
      <c r="A103" s="32" t="str">
        <f t="shared" si="5"/>
        <v>Não</v>
      </c>
      <c r="B103" s="8">
        <v>980</v>
      </c>
      <c r="C103" s="7"/>
      <c r="D103" s="44">
        <f>IF(C103=0,0,IF(ISERROR(VLOOKUP(C103,Operações!A:D,2,FALSE)),0,VLOOKUP(C103,Operações!A:D,2,FALSE)))</f>
        <v>0</v>
      </c>
      <c r="E103" s="44">
        <f>IF(C103=0,0,IF(ISERROR(VLOOKUP(C103,Operações!A:D,3,FALSE)),0,VLOOKUP(C103,Operações!A:D,3,FALSE)))</f>
        <v>0</v>
      </c>
      <c r="F103" s="50">
        <f>IF(C103=0,0,IF(ISERROR(VLOOKUP(C103,Operações!A:D,4,FALSE)),0,VLOOKUP(C103,Operações!A:D,4,FALSE)))</f>
        <v>0</v>
      </c>
      <c r="G103" s="79">
        <f t="shared" si="6"/>
        <v>0</v>
      </c>
      <c r="H103" s="42"/>
      <c r="I103" s="42"/>
      <c r="J103" s="42"/>
      <c r="K103" s="42"/>
      <c r="L103" s="42"/>
      <c r="M103" s="42"/>
      <c r="N103" s="27">
        <f t="shared" si="7"/>
        <v>0</v>
      </c>
      <c r="O103" s="42"/>
      <c r="P103" s="42"/>
      <c r="Q103" s="42"/>
      <c r="R103" s="42"/>
      <c r="S103" s="42"/>
      <c r="T103" s="42"/>
      <c r="U103" s="42"/>
      <c r="V103" s="42"/>
      <c r="W103" s="42"/>
      <c r="X103" s="42"/>
    </row>
    <row r="104" spans="1:24" ht="18" customHeight="1" x14ac:dyDescent="0.25">
      <c r="A104" s="32" t="str">
        <f t="shared" ref="A104:A124" si="8">IF(C104=0,"Não","Sim")</f>
        <v>Não</v>
      </c>
      <c r="B104" s="10">
        <v>990</v>
      </c>
      <c r="C104" s="7"/>
      <c r="D104" s="44">
        <f>IF(C104=0,0,IF(ISERROR(VLOOKUP(C104,Operações!A:D,2,FALSE)),0,VLOOKUP(C104,Operações!A:D,2,FALSE)))</f>
        <v>0</v>
      </c>
      <c r="E104" s="44">
        <f>IF(C104=0,0,IF(ISERROR(VLOOKUP(C104,Operações!A:D,3,FALSE)),0,VLOOKUP(C104,Operações!A:D,3,FALSE)))</f>
        <v>0</v>
      </c>
      <c r="F104" s="50">
        <f>IF(C104=0,0,IF(ISERROR(VLOOKUP(C104,Operações!A:D,4,FALSE)),0,VLOOKUP(C104,Operações!A:D,4,FALSE)))</f>
        <v>0</v>
      </c>
      <c r="G104" s="79">
        <f t="shared" si="6"/>
        <v>0</v>
      </c>
      <c r="H104" s="42"/>
      <c r="I104" s="42"/>
      <c r="J104" s="42"/>
      <c r="K104" s="42"/>
      <c r="L104" s="42"/>
      <c r="M104" s="42"/>
      <c r="N104" s="27">
        <f t="shared" si="7"/>
        <v>0</v>
      </c>
      <c r="O104" s="42"/>
      <c r="P104" s="42"/>
      <c r="Q104" s="42"/>
      <c r="R104" s="42"/>
      <c r="S104" s="42"/>
      <c r="T104" s="42"/>
      <c r="U104" s="42"/>
      <c r="V104" s="42"/>
      <c r="W104" s="42"/>
      <c r="X104" s="42"/>
    </row>
    <row r="105" spans="1:24" ht="18" customHeight="1" x14ac:dyDescent="0.25">
      <c r="A105" s="32" t="str">
        <f t="shared" si="8"/>
        <v>Não</v>
      </c>
      <c r="B105" s="8">
        <v>1000</v>
      </c>
      <c r="C105" s="7"/>
      <c r="D105" s="44">
        <f>IF(C105=0,0,IF(ISERROR(VLOOKUP(C105,Operações!A:D,2,FALSE)),0,VLOOKUP(C105,Operações!A:D,2,FALSE)))</f>
        <v>0</v>
      </c>
      <c r="E105" s="44">
        <f>IF(C105=0,0,IF(ISERROR(VLOOKUP(C105,Operações!A:D,3,FALSE)),0,VLOOKUP(C105,Operações!A:D,3,FALSE)))</f>
        <v>0</v>
      </c>
      <c r="F105" s="50">
        <f>IF(C105=0,0,IF(ISERROR(VLOOKUP(C105,Operações!A:D,4,FALSE)),0,VLOOKUP(C105,Operações!A:D,4,FALSE)))</f>
        <v>0</v>
      </c>
      <c r="G105" s="79">
        <f t="shared" si="6"/>
        <v>0</v>
      </c>
      <c r="H105" s="42"/>
      <c r="I105" s="42"/>
      <c r="J105" s="42"/>
      <c r="K105" s="42"/>
      <c r="L105" s="42"/>
      <c r="M105" s="42"/>
      <c r="N105" s="27">
        <f t="shared" si="7"/>
        <v>0</v>
      </c>
      <c r="O105" s="42"/>
      <c r="P105" s="42"/>
      <c r="Q105" s="42"/>
      <c r="R105" s="42"/>
      <c r="S105" s="42"/>
      <c r="T105" s="42"/>
      <c r="U105" s="42"/>
      <c r="V105" s="42"/>
      <c r="W105" s="42"/>
      <c r="X105" s="42"/>
    </row>
    <row r="106" spans="1:24" ht="18" customHeight="1" x14ac:dyDescent="0.25">
      <c r="A106" s="32" t="str">
        <f t="shared" si="8"/>
        <v>Não</v>
      </c>
      <c r="B106" s="10">
        <v>1010</v>
      </c>
      <c r="C106" s="7"/>
      <c r="D106" s="44">
        <f>IF(C106=0,0,IF(ISERROR(VLOOKUP(C106,Operações!A:D,2,FALSE)),0,VLOOKUP(C106,Operações!A:D,2,FALSE)))</f>
        <v>0</v>
      </c>
      <c r="E106" s="44">
        <f>IF(C106=0,0,IF(ISERROR(VLOOKUP(C106,Operações!A:D,3,FALSE)),0,VLOOKUP(C106,Operações!A:D,3,FALSE)))</f>
        <v>0</v>
      </c>
      <c r="F106" s="50">
        <f>IF(C106=0,0,IF(ISERROR(VLOOKUP(C106,Operações!A:D,4,FALSE)),0,VLOOKUP(C106,Operações!A:D,4,FALSE)))</f>
        <v>0</v>
      </c>
      <c r="G106" s="79">
        <f t="shared" si="6"/>
        <v>0</v>
      </c>
      <c r="H106" s="42"/>
      <c r="I106" s="42"/>
      <c r="J106" s="42"/>
      <c r="K106" s="42"/>
      <c r="L106" s="42"/>
      <c r="M106" s="42"/>
      <c r="N106" s="27">
        <f t="shared" si="7"/>
        <v>0</v>
      </c>
      <c r="O106" s="42"/>
      <c r="P106" s="42"/>
      <c r="Q106" s="42"/>
      <c r="R106" s="42"/>
      <c r="S106" s="42"/>
      <c r="T106" s="42"/>
      <c r="U106" s="42"/>
      <c r="V106" s="42"/>
      <c r="W106" s="42"/>
      <c r="X106" s="42"/>
    </row>
    <row r="107" spans="1:24" ht="18" customHeight="1" x14ac:dyDescent="0.25">
      <c r="A107" s="32" t="str">
        <f t="shared" si="8"/>
        <v>Não</v>
      </c>
      <c r="B107" s="8">
        <v>1020</v>
      </c>
      <c r="C107" s="7"/>
      <c r="D107" s="44">
        <f>IF(C107=0,0,IF(ISERROR(VLOOKUP(C107,Operações!A:D,2,FALSE)),0,VLOOKUP(C107,Operações!A:D,2,FALSE)))</f>
        <v>0</v>
      </c>
      <c r="E107" s="44">
        <f>IF(C107=0,0,IF(ISERROR(VLOOKUP(C107,Operações!A:D,3,FALSE)),0,VLOOKUP(C107,Operações!A:D,3,FALSE)))</f>
        <v>0</v>
      </c>
      <c r="F107" s="50">
        <f>IF(C107=0,0,IF(ISERROR(VLOOKUP(C107,Operações!A:D,4,FALSE)),0,VLOOKUP(C107,Operações!A:D,4,FALSE)))</f>
        <v>0</v>
      </c>
      <c r="G107" s="79">
        <f t="shared" si="6"/>
        <v>0</v>
      </c>
      <c r="H107" s="42"/>
      <c r="I107" s="42"/>
      <c r="J107" s="42"/>
      <c r="K107" s="42"/>
      <c r="L107" s="42"/>
      <c r="M107" s="42"/>
      <c r="N107" s="27">
        <f t="shared" si="7"/>
        <v>0</v>
      </c>
      <c r="O107" s="42"/>
      <c r="P107" s="42"/>
      <c r="Q107" s="42"/>
      <c r="R107" s="42"/>
      <c r="S107" s="42"/>
      <c r="T107" s="42"/>
      <c r="U107" s="42"/>
      <c r="V107" s="42"/>
      <c r="W107" s="42"/>
      <c r="X107" s="42"/>
    </row>
    <row r="108" spans="1:24" ht="18" customHeight="1" x14ac:dyDescent="0.25">
      <c r="A108" s="32" t="str">
        <f t="shared" si="8"/>
        <v>Não</v>
      </c>
      <c r="B108" s="10">
        <v>1030</v>
      </c>
      <c r="C108" s="7"/>
      <c r="D108" s="44">
        <f>IF(C108=0,0,IF(ISERROR(VLOOKUP(C108,Operações!A:D,2,FALSE)),0,VLOOKUP(C108,Operações!A:D,2,FALSE)))</f>
        <v>0</v>
      </c>
      <c r="E108" s="44">
        <f>IF(C108=0,0,IF(ISERROR(VLOOKUP(C108,Operações!A:D,3,FALSE)),0,VLOOKUP(C108,Operações!A:D,3,FALSE)))</f>
        <v>0</v>
      </c>
      <c r="F108" s="50">
        <f>IF(C108=0,0,IF(ISERROR(VLOOKUP(C108,Operações!A:D,4,FALSE)),0,VLOOKUP(C108,Operações!A:D,4,FALSE)))</f>
        <v>0</v>
      </c>
      <c r="G108" s="79">
        <f t="shared" si="6"/>
        <v>0</v>
      </c>
      <c r="H108" s="42"/>
      <c r="I108" s="42"/>
      <c r="J108" s="42"/>
      <c r="K108" s="42"/>
      <c r="L108" s="42"/>
      <c r="M108" s="42"/>
      <c r="N108" s="27">
        <f t="shared" si="7"/>
        <v>0</v>
      </c>
      <c r="O108" s="42"/>
      <c r="P108" s="42"/>
      <c r="Q108" s="42"/>
      <c r="R108" s="42"/>
      <c r="S108" s="42"/>
      <c r="T108" s="42"/>
      <c r="U108" s="42"/>
      <c r="V108" s="42"/>
      <c r="W108" s="42"/>
      <c r="X108" s="42"/>
    </row>
    <row r="109" spans="1:24" ht="18" customHeight="1" x14ac:dyDescent="0.25">
      <c r="A109" s="32" t="str">
        <f t="shared" si="8"/>
        <v>Não</v>
      </c>
      <c r="B109" s="8">
        <v>1040</v>
      </c>
      <c r="C109" s="7"/>
      <c r="D109" s="44">
        <f>IF(C109=0,0,IF(ISERROR(VLOOKUP(C109,Operações!A:D,2,FALSE)),0,VLOOKUP(C109,Operações!A:D,2,FALSE)))</f>
        <v>0</v>
      </c>
      <c r="E109" s="44">
        <f>IF(C109=0,0,IF(ISERROR(VLOOKUP(C109,Operações!A:D,3,FALSE)),0,VLOOKUP(C109,Operações!A:D,3,FALSE)))</f>
        <v>0</v>
      </c>
      <c r="F109" s="50">
        <f>IF(C109=0,0,IF(ISERROR(VLOOKUP(C109,Operações!A:D,4,FALSE)),0,VLOOKUP(C109,Operações!A:D,4,FALSE)))</f>
        <v>0</v>
      </c>
      <c r="G109" s="79">
        <f t="shared" si="6"/>
        <v>0</v>
      </c>
      <c r="H109" s="42"/>
      <c r="I109" s="42"/>
      <c r="J109" s="42"/>
      <c r="K109" s="42"/>
      <c r="L109" s="42"/>
      <c r="M109" s="42"/>
      <c r="N109" s="27">
        <f t="shared" si="7"/>
        <v>0</v>
      </c>
      <c r="O109" s="42"/>
      <c r="P109" s="42"/>
      <c r="Q109" s="42"/>
      <c r="R109" s="42"/>
      <c r="S109" s="42"/>
      <c r="T109" s="42"/>
      <c r="U109" s="42"/>
      <c r="V109" s="42"/>
      <c r="W109" s="42"/>
      <c r="X109" s="42"/>
    </row>
    <row r="110" spans="1:24" ht="18" customHeight="1" x14ac:dyDescent="0.25">
      <c r="A110" s="32" t="str">
        <f t="shared" si="8"/>
        <v>Não</v>
      </c>
      <c r="B110" s="10">
        <v>1050</v>
      </c>
      <c r="C110" s="7"/>
      <c r="D110" s="44">
        <f>IF(C110=0,0,IF(ISERROR(VLOOKUP(C110,Operações!A:D,2,FALSE)),0,VLOOKUP(C110,Operações!A:D,2,FALSE)))</f>
        <v>0</v>
      </c>
      <c r="E110" s="44">
        <f>IF(C110=0,0,IF(ISERROR(VLOOKUP(C110,Operações!A:D,3,FALSE)),0,VLOOKUP(C110,Operações!A:D,3,FALSE)))</f>
        <v>0</v>
      </c>
      <c r="F110" s="50">
        <f>IF(C110=0,0,IF(ISERROR(VLOOKUP(C110,Operações!A:D,4,FALSE)),0,VLOOKUP(C110,Operações!A:D,4,FALSE)))</f>
        <v>0</v>
      </c>
      <c r="G110" s="79">
        <f t="shared" si="6"/>
        <v>0</v>
      </c>
      <c r="H110" s="42"/>
      <c r="I110" s="42"/>
      <c r="J110" s="42"/>
      <c r="K110" s="42"/>
      <c r="L110" s="42"/>
      <c r="M110" s="42"/>
      <c r="N110" s="27">
        <f t="shared" si="7"/>
        <v>0</v>
      </c>
      <c r="O110" s="42"/>
      <c r="P110" s="42"/>
      <c r="Q110" s="42"/>
      <c r="R110" s="42"/>
      <c r="S110" s="42"/>
      <c r="T110" s="42"/>
      <c r="U110" s="42"/>
      <c r="V110" s="42"/>
      <c r="W110" s="42"/>
      <c r="X110" s="42"/>
    </row>
    <row r="111" spans="1:24" ht="18" customHeight="1" x14ac:dyDescent="0.25">
      <c r="A111" s="32" t="str">
        <f t="shared" si="8"/>
        <v>Não</v>
      </c>
      <c r="B111" s="8">
        <v>1060</v>
      </c>
      <c r="C111" s="7"/>
      <c r="D111" s="44">
        <f>IF(C111=0,0,IF(ISERROR(VLOOKUP(C111,Operações!A:D,2,FALSE)),0,VLOOKUP(C111,Operações!A:D,2,FALSE)))</f>
        <v>0</v>
      </c>
      <c r="E111" s="44">
        <f>IF(C111=0,0,IF(ISERROR(VLOOKUP(C111,Operações!A:D,3,FALSE)),0,VLOOKUP(C111,Operações!A:D,3,FALSE)))</f>
        <v>0</v>
      </c>
      <c r="F111" s="50">
        <f>IF(C111=0,0,IF(ISERROR(VLOOKUP(C111,Operações!A:D,4,FALSE)),0,VLOOKUP(C111,Operações!A:D,4,FALSE)))</f>
        <v>0</v>
      </c>
      <c r="G111" s="79">
        <f t="shared" si="6"/>
        <v>0</v>
      </c>
      <c r="H111" s="42"/>
      <c r="I111" s="42"/>
      <c r="J111" s="42"/>
      <c r="K111" s="42"/>
      <c r="L111" s="42"/>
      <c r="M111" s="42"/>
      <c r="N111" s="27">
        <f t="shared" si="7"/>
        <v>0</v>
      </c>
      <c r="O111" s="42"/>
      <c r="P111" s="42"/>
      <c r="Q111" s="42"/>
      <c r="R111" s="42"/>
      <c r="S111" s="42"/>
      <c r="T111" s="42"/>
      <c r="U111" s="42"/>
      <c r="V111" s="42"/>
      <c r="W111" s="42"/>
      <c r="X111" s="42"/>
    </row>
    <row r="112" spans="1:24" ht="18" customHeight="1" x14ac:dyDescent="0.25">
      <c r="A112" s="32" t="str">
        <f t="shared" si="8"/>
        <v>Não</v>
      </c>
      <c r="B112" s="10">
        <v>1070</v>
      </c>
      <c r="C112" s="7"/>
      <c r="D112" s="44">
        <f>IF(C112=0,0,IF(ISERROR(VLOOKUP(C112,Operações!A:D,2,FALSE)),0,VLOOKUP(C112,Operações!A:D,2,FALSE)))</f>
        <v>0</v>
      </c>
      <c r="E112" s="44">
        <f>IF(C112=0,0,IF(ISERROR(VLOOKUP(C112,Operações!A:D,3,FALSE)),0,VLOOKUP(C112,Operações!A:D,3,FALSE)))</f>
        <v>0</v>
      </c>
      <c r="F112" s="50">
        <f>IF(C112=0,0,IF(ISERROR(VLOOKUP(C112,Operações!A:D,4,FALSE)),0,VLOOKUP(C112,Operações!A:D,4,FALSE)))</f>
        <v>0</v>
      </c>
      <c r="G112" s="79">
        <f t="shared" si="6"/>
        <v>0</v>
      </c>
      <c r="H112" s="42"/>
      <c r="I112" s="42"/>
      <c r="J112" s="42"/>
      <c r="K112" s="42"/>
      <c r="L112" s="42"/>
      <c r="M112" s="42"/>
      <c r="N112" s="27">
        <f t="shared" si="7"/>
        <v>0</v>
      </c>
      <c r="O112" s="42"/>
      <c r="P112" s="42"/>
      <c r="Q112" s="42"/>
      <c r="R112" s="42"/>
      <c r="S112" s="42"/>
      <c r="T112" s="42"/>
      <c r="U112" s="42"/>
      <c r="V112" s="42"/>
      <c r="W112" s="42"/>
      <c r="X112" s="42"/>
    </row>
    <row r="113" spans="1:24" ht="18" customHeight="1" x14ac:dyDescent="0.25">
      <c r="A113" s="32" t="str">
        <f t="shared" si="8"/>
        <v>Não</v>
      </c>
      <c r="B113" s="8">
        <v>1080</v>
      </c>
      <c r="C113" s="7"/>
      <c r="D113" s="44">
        <f>IF(C113=0,0,IF(ISERROR(VLOOKUP(C113,Operações!A:D,2,FALSE)),0,VLOOKUP(C113,Operações!A:D,2,FALSE)))</f>
        <v>0</v>
      </c>
      <c r="E113" s="44">
        <f>IF(C113=0,0,IF(ISERROR(VLOOKUP(C113,Operações!A:D,3,FALSE)),0,VLOOKUP(C113,Operações!A:D,3,FALSE)))</f>
        <v>0</v>
      </c>
      <c r="F113" s="50">
        <f>IF(C113=0,0,IF(ISERROR(VLOOKUP(C113,Operações!A:D,4,FALSE)),0,VLOOKUP(C113,Operações!A:D,4,FALSE)))</f>
        <v>0</v>
      </c>
      <c r="G113" s="79">
        <f t="shared" si="6"/>
        <v>0</v>
      </c>
      <c r="H113" s="42"/>
      <c r="I113" s="42"/>
      <c r="J113" s="42"/>
      <c r="K113" s="42"/>
      <c r="L113" s="42"/>
      <c r="M113" s="42"/>
      <c r="N113" s="27">
        <f t="shared" si="7"/>
        <v>0</v>
      </c>
      <c r="O113" s="42"/>
      <c r="P113" s="42"/>
      <c r="Q113" s="42"/>
      <c r="R113" s="42"/>
      <c r="S113" s="42"/>
      <c r="T113" s="42"/>
      <c r="U113" s="42"/>
      <c r="V113" s="42"/>
      <c r="W113" s="42"/>
      <c r="X113" s="42"/>
    </row>
    <row r="114" spans="1:24" ht="18" customHeight="1" x14ac:dyDescent="0.25">
      <c r="A114" s="32" t="str">
        <f t="shared" si="8"/>
        <v>Não</v>
      </c>
      <c r="B114" s="10">
        <v>1090</v>
      </c>
      <c r="C114" s="7"/>
      <c r="D114" s="44">
        <f>IF(C114=0,0,IF(ISERROR(VLOOKUP(C114,Operações!A:D,2,FALSE)),0,VLOOKUP(C114,Operações!A:D,2,FALSE)))</f>
        <v>0</v>
      </c>
      <c r="E114" s="44">
        <f>IF(C114=0,0,IF(ISERROR(VLOOKUP(C114,Operações!A:D,3,FALSE)),0,VLOOKUP(C114,Operações!A:D,3,FALSE)))</f>
        <v>0</v>
      </c>
      <c r="F114" s="50">
        <f>IF(C114=0,0,IF(ISERROR(VLOOKUP(C114,Operações!A:D,4,FALSE)),0,VLOOKUP(C114,Operações!A:D,4,FALSE)))</f>
        <v>0</v>
      </c>
      <c r="G114" s="79">
        <f t="shared" si="6"/>
        <v>0</v>
      </c>
      <c r="H114" s="42"/>
      <c r="I114" s="42"/>
      <c r="J114" s="42"/>
      <c r="K114" s="42"/>
      <c r="L114" s="42"/>
      <c r="M114" s="42"/>
      <c r="N114" s="27">
        <f t="shared" si="7"/>
        <v>0</v>
      </c>
      <c r="O114" s="42"/>
      <c r="P114" s="42"/>
      <c r="Q114" s="42"/>
      <c r="R114" s="42"/>
      <c r="S114" s="42"/>
      <c r="T114" s="42"/>
      <c r="U114" s="42"/>
      <c r="V114" s="42"/>
      <c r="W114" s="42"/>
      <c r="X114" s="42"/>
    </row>
    <row r="115" spans="1:24" ht="18" customHeight="1" x14ac:dyDescent="0.25">
      <c r="A115" s="32" t="str">
        <f t="shared" si="8"/>
        <v>Não</v>
      </c>
      <c r="B115" s="8">
        <v>1100</v>
      </c>
      <c r="C115" s="7"/>
      <c r="D115" s="44">
        <f>IF(C115=0,0,IF(ISERROR(VLOOKUP(C115,Operações!A:D,2,FALSE)),0,VLOOKUP(C115,Operações!A:D,2,FALSE)))</f>
        <v>0</v>
      </c>
      <c r="E115" s="44">
        <f>IF(C115=0,0,IF(ISERROR(VLOOKUP(C115,Operações!A:D,3,FALSE)),0,VLOOKUP(C115,Operações!A:D,3,FALSE)))</f>
        <v>0</v>
      </c>
      <c r="F115" s="50">
        <f>IF(C115=0,0,IF(ISERROR(VLOOKUP(C115,Operações!A:D,4,FALSE)),0,VLOOKUP(C115,Operações!A:D,4,FALSE)))</f>
        <v>0</v>
      </c>
      <c r="G115" s="79">
        <f t="shared" si="6"/>
        <v>0</v>
      </c>
      <c r="H115" s="42"/>
      <c r="I115" s="42"/>
      <c r="J115" s="42"/>
      <c r="K115" s="42"/>
      <c r="L115" s="42"/>
      <c r="M115" s="42"/>
      <c r="N115" s="27">
        <f t="shared" si="7"/>
        <v>0</v>
      </c>
      <c r="O115" s="42"/>
      <c r="P115" s="42"/>
      <c r="Q115" s="42"/>
      <c r="R115" s="42"/>
      <c r="S115" s="42"/>
      <c r="T115" s="42"/>
      <c r="U115" s="42"/>
      <c r="V115" s="42"/>
      <c r="W115" s="42"/>
      <c r="X115" s="42"/>
    </row>
    <row r="116" spans="1:24" ht="18" customHeight="1" x14ac:dyDescent="0.25">
      <c r="A116" s="32" t="str">
        <f t="shared" si="8"/>
        <v>Não</v>
      </c>
      <c r="B116" s="10">
        <v>1110</v>
      </c>
      <c r="C116" s="7"/>
      <c r="D116" s="44">
        <f>IF(C116=0,0,IF(ISERROR(VLOOKUP(C116,Operações!A:D,2,FALSE)),0,VLOOKUP(C116,Operações!A:D,2,FALSE)))</f>
        <v>0</v>
      </c>
      <c r="E116" s="44">
        <f>IF(C116=0,0,IF(ISERROR(VLOOKUP(C116,Operações!A:D,3,FALSE)),0,VLOOKUP(C116,Operações!A:D,3,FALSE)))</f>
        <v>0</v>
      </c>
      <c r="F116" s="50">
        <f>IF(C116=0,0,IF(ISERROR(VLOOKUP(C116,Operações!A:D,4,FALSE)),0,VLOOKUP(C116,Operações!A:D,4,FALSE)))</f>
        <v>0</v>
      </c>
      <c r="G116" s="79">
        <f t="shared" si="6"/>
        <v>0</v>
      </c>
      <c r="H116" s="42"/>
      <c r="I116" s="42"/>
      <c r="J116" s="42"/>
      <c r="K116" s="42"/>
      <c r="L116" s="42"/>
      <c r="M116" s="42"/>
      <c r="N116" s="27">
        <f t="shared" si="7"/>
        <v>0</v>
      </c>
      <c r="O116" s="42"/>
      <c r="P116" s="42"/>
      <c r="Q116" s="42"/>
      <c r="R116" s="42"/>
      <c r="S116" s="42"/>
      <c r="T116" s="42"/>
      <c r="U116" s="42"/>
      <c r="V116" s="42"/>
      <c r="W116" s="42"/>
      <c r="X116" s="42"/>
    </row>
    <row r="117" spans="1:24" ht="18" customHeight="1" x14ac:dyDescent="0.25">
      <c r="A117" s="32" t="str">
        <f t="shared" si="8"/>
        <v>Não</v>
      </c>
      <c r="B117" s="8">
        <v>1120</v>
      </c>
      <c r="C117" s="7"/>
      <c r="D117" s="44">
        <f>IF(C117=0,0,IF(ISERROR(VLOOKUP(C117,Operações!A:D,2,FALSE)),0,VLOOKUP(C117,Operações!A:D,2,FALSE)))</f>
        <v>0</v>
      </c>
      <c r="E117" s="44">
        <f>IF(C117=0,0,IF(ISERROR(VLOOKUP(C117,Operações!A:D,3,FALSE)),0,VLOOKUP(C117,Operações!A:D,3,FALSE)))</f>
        <v>0</v>
      </c>
      <c r="F117" s="50">
        <f>IF(C117=0,0,IF(ISERROR(VLOOKUP(C117,Operações!A:D,4,FALSE)),0,VLOOKUP(C117,Operações!A:D,4,FALSE)))</f>
        <v>0</v>
      </c>
      <c r="G117" s="79">
        <f t="shared" si="6"/>
        <v>0</v>
      </c>
      <c r="H117" s="42"/>
      <c r="I117" s="42"/>
      <c r="J117" s="42"/>
      <c r="K117" s="42"/>
      <c r="L117" s="42"/>
      <c r="M117" s="42"/>
      <c r="N117" s="27">
        <f t="shared" si="7"/>
        <v>0</v>
      </c>
      <c r="O117" s="42"/>
      <c r="P117" s="42"/>
      <c r="Q117" s="42"/>
      <c r="R117" s="42"/>
      <c r="S117" s="42"/>
      <c r="T117" s="42"/>
      <c r="U117" s="42"/>
      <c r="V117" s="42"/>
      <c r="W117" s="42"/>
      <c r="X117" s="42"/>
    </row>
    <row r="118" spans="1:24" ht="18" customHeight="1" x14ac:dyDescent="0.25">
      <c r="A118" s="32" t="str">
        <f t="shared" si="8"/>
        <v>Não</v>
      </c>
      <c r="B118" s="10">
        <v>1130</v>
      </c>
      <c r="C118" s="7"/>
      <c r="D118" s="44">
        <f>IF(C118=0,0,IF(ISERROR(VLOOKUP(C118,Operações!A:D,2,FALSE)),0,VLOOKUP(C118,Operações!A:D,2,FALSE)))</f>
        <v>0</v>
      </c>
      <c r="E118" s="44">
        <f>IF(C118=0,0,IF(ISERROR(VLOOKUP(C118,Operações!A:D,3,FALSE)),0,VLOOKUP(C118,Operações!A:D,3,FALSE)))</f>
        <v>0</v>
      </c>
      <c r="F118" s="50">
        <f>IF(C118=0,0,IF(ISERROR(VLOOKUP(C118,Operações!A:D,4,FALSE)),0,VLOOKUP(C118,Operações!A:D,4,FALSE)))</f>
        <v>0</v>
      </c>
      <c r="G118" s="79">
        <f t="shared" si="6"/>
        <v>0</v>
      </c>
      <c r="H118" s="42"/>
      <c r="I118" s="42"/>
      <c r="J118" s="42"/>
      <c r="K118" s="42"/>
      <c r="L118" s="42"/>
      <c r="M118" s="42"/>
      <c r="N118" s="27">
        <f t="shared" si="7"/>
        <v>0</v>
      </c>
      <c r="O118" s="42"/>
      <c r="P118" s="42"/>
      <c r="Q118" s="42"/>
      <c r="R118" s="42"/>
      <c r="S118" s="42"/>
      <c r="T118" s="42"/>
      <c r="U118" s="42"/>
      <c r="V118" s="42"/>
      <c r="W118" s="42"/>
      <c r="X118" s="42"/>
    </row>
    <row r="119" spans="1:24" ht="18" customHeight="1" x14ac:dyDescent="0.25">
      <c r="A119" s="32" t="str">
        <f t="shared" si="8"/>
        <v>Não</v>
      </c>
      <c r="B119" s="8">
        <v>1140</v>
      </c>
      <c r="C119" s="7"/>
      <c r="D119" s="44">
        <f>IF(C119=0,0,IF(ISERROR(VLOOKUP(C119,Operações!A:D,2,FALSE)),0,VLOOKUP(C119,Operações!A:D,2,FALSE)))</f>
        <v>0</v>
      </c>
      <c r="E119" s="44">
        <f>IF(C119=0,0,IF(ISERROR(VLOOKUP(C119,Operações!A:D,3,FALSE)),0,VLOOKUP(C119,Operações!A:D,3,FALSE)))</f>
        <v>0</v>
      </c>
      <c r="F119" s="50">
        <f>IF(C119=0,0,IF(ISERROR(VLOOKUP(C119,Operações!A:D,4,FALSE)),0,VLOOKUP(C119,Operações!A:D,4,FALSE)))</f>
        <v>0</v>
      </c>
      <c r="G119" s="79">
        <f t="shared" si="6"/>
        <v>0</v>
      </c>
      <c r="H119" s="42"/>
      <c r="I119" s="42"/>
      <c r="J119" s="42"/>
      <c r="K119" s="42"/>
      <c r="L119" s="42"/>
      <c r="M119" s="42"/>
      <c r="N119" s="27">
        <f t="shared" si="7"/>
        <v>0</v>
      </c>
      <c r="O119" s="42"/>
      <c r="P119" s="42"/>
      <c r="Q119" s="42"/>
      <c r="R119" s="42"/>
      <c r="S119" s="42"/>
      <c r="T119" s="42"/>
      <c r="U119" s="42"/>
      <c r="V119" s="42"/>
      <c r="W119" s="42"/>
      <c r="X119" s="42"/>
    </row>
    <row r="120" spans="1:24" ht="18" customHeight="1" x14ac:dyDescent="0.25">
      <c r="A120" s="32" t="str">
        <f t="shared" si="8"/>
        <v>Não</v>
      </c>
      <c r="B120" s="10">
        <v>1150</v>
      </c>
      <c r="C120" s="7"/>
      <c r="D120" s="44">
        <f>IF(C120=0,0,IF(ISERROR(VLOOKUP(C120,Operações!A:D,2,FALSE)),0,VLOOKUP(C120,Operações!A:D,2,FALSE)))</f>
        <v>0</v>
      </c>
      <c r="E120" s="44">
        <f>IF(C120=0,0,IF(ISERROR(VLOOKUP(C120,Operações!A:D,3,FALSE)),0,VLOOKUP(C120,Operações!A:D,3,FALSE)))</f>
        <v>0</v>
      </c>
      <c r="F120" s="50">
        <f>IF(C120=0,0,IF(ISERROR(VLOOKUP(C120,Operações!A:D,4,FALSE)),0,VLOOKUP(C120,Operações!A:D,4,FALSE)))</f>
        <v>0</v>
      </c>
      <c r="G120" s="79">
        <f t="shared" si="6"/>
        <v>0</v>
      </c>
      <c r="H120" s="42"/>
      <c r="I120" s="42"/>
      <c r="J120" s="42"/>
      <c r="K120" s="42"/>
      <c r="L120" s="42"/>
      <c r="M120" s="42"/>
      <c r="N120" s="27">
        <f t="shared" si="7"/>
        <v>0</v>
      </c>
      <c r="O120" s="42"/>
      <c r="P120" s="42"/>
      <c r="Q120" s="42"/>
      <c r="R120" s="42"/>
      <c r="S120" s="42"/>
      <c r="T120" s="42"/>
      <c r="U120" s="42"/>
      <c r="V120" s="42"/>
      <c r="W120" s="42"/>
      <c r="X120" s="42"/>
    </row>
    <row r="121" spans="1:24" ht="18" customHeight="1" x14ac:dyDescent="0.25">
      <c r="A121" s="32" t="str">
        <f t="shared" si="8"/>
        <v>Não</v>
      </c>
      <c r="B121" s="8">
        <v>1160</v>
      </c>
      <c r="C121" s="7"/>
      <c r="D121" s="44">
        <f>IF(C121=0,0,IF(ISERROR(VLOOKUP(C121,Operações!A:D,2,FALSE)),0,VLOOKUP(C121,Operações!A:D,2,FALSE)))</f>
        <v>0</v>
      </c>
      <c r="E121" s="44">
        <f>IF(C121=0,0,IF(ISERROR(VLOOKUP(C121,Operações!A:D,3,FALSE)),0,VLOOKUP(C121,Operações!A:D,3,FALSE)))</f>
        <v>0</v>
      </c>
      <c r="F121" s="50">
        <f>IF(C121=0,0,IF(ISERROR(VLOOKUP(C121,Operações!A:D,4,FALSE)),0,VLOOKUP(C121,Operações!A:D,4,FALSE)))</f>
        <v>0</v>
      </c>
      <c r="G121" s="79">
        <f t="shared" si="6"/>
        <v>0</v>
      </c>
      <c r="H121" s="42"/>
      <c r="I121" s="42"/>
      <c r="J121" s="42"/>
      <c r="K121" s="42"/>
      <c r="L121" s="42"/>
      <c r="M121" s="42"/>
      <c r="N121" s="27">
        <f t="shared" si="7"/>
        <v>0</v>
      </c>
      <c r="O121" s="42"/>
      <c r="P121" s="42"/>
      <c r="Q121" s="42"/>
      <c r="R121" s="42"/>
      <c r="S121" s="42"/>
      <c r="T121" s="42"/>
      <c r="U121" s="42"/>
      <c r="V121" s="42"/>
      <c r="W121" s="42"/>
      <c r="X121" s="42"/>
    </row>
    <row r="122" spans="1:24" ht="18" customHeight="1" x14ac:dyDescent="0.25">
      <c r="A122" s="32" t="str">
        <f t="shared" si="8"/>
        <v>Não</v>
      </c>
      <c r="B122" s="10">
        <v>1170</v>
      </c>
      <c r="C122" s="7"/>
      <c r="D122" s="44">
        <f>IF(C122=0,0,IF(ISERROR(VLOOKUP(C122,Operações!A:D,2,FALSE)),0,VLOOKUP(C122,Operações!A:D,2,FALSE)))</f>
        <v>0</v>
      </c>
      <c r="E122" s="44">
        <f>IF(C122=0,0,IF(ISERROR(VLOOKUP(C122,Operações!A:D,3,FALSE)),0,VLOOKUP(C122,Operações!A:D,3,FALSE)))</f>
        <v>0</v>
      </c>
      <c r="F122" s="50">
        <f>IF(C122=0,0,IF(ISERROR(VLOOKUP(C122,Operações!A:D,4,FALSE)),0,VLOOKUP(C122,Operações!A:D,4,FALSE)))</f>
        <v>0</v>
      </c>
      <c r="G122" s="79">
        <f t="shared" si="6"/>
        <v>0</v>
      </c>
      <c r="H122" s="42"/>
      <c r="I122" s="42"/>
      <c r="J122" s="42"/>
      <c r="K122" s="42"/>
      <c r="L122" s="42"/>
      <c r="M122" s="42"/>
      <c r="N122" s="27">
        <f t="shared" si="7"/>
        <v>0</v>
      </c>
      <c r="O122" s="42"/>
      <c r="P122" s="42"/>
      <c r="Q122" s="42"/>
      <c r="R122" s="42"/>
      <c r="S122" s="42"/>
      <c r="T122" s="42"/>
      <c r="U122" s="42"/>
      <c r="V122" s="42"/>
      <c r="W122" s="42"/>
      <c r="X122" s="42"/>
    </row>
    <row r="123" spans="1:24" ht="18" customHeight="1" x14ac:dyDescent="0.25">
      <c r="A123" s="32" t="str">
        <f t="shared" si="8"/>
        <v>Não</v>
      </c>
      <c r="B123" s="8">
        <v>1180</v>
      </c>
      <c r="C123" s="7"/>
      <c r="D123" s="44">
        <f>IF(C123=0,0,IF(ISERROR(VLOOKUP(C123,Operações!A:D,2,FALSE)),0,VLOOKUP(C123,Operações!A:D,2,FALSE)))</f>
        <v>0</v>
      </c>
      <c r="E123" s="44">
        <f>IF(C123=0,0,IF(ISERROR(VLOOKUP(C123,Operações!A:D,3,FALSE)),0,VLOOKUP(C123,Operações!A:D,3,FALSE)))</f>
        <v>0</v>
      </c>
      <c r="F123" s="50">
        <f>IF(C123=0,0,IF(ISERROR(VLOOKUP(C123,Operações!A:D,4,FALSE)),0,VLOOKUP(C123,Operações!A:D,4,FALSE)))</f>
        <v>0</v>
      </c>
      <c r="G123" s="79">
        <f t="shared" si="6"/>
        <v>0</v>
      </c>
      <c r="H123" s="42"/>
      <c r="I123" s="42"/>
      <c r="J123" s="42"/>
      <c r="K123" s="42"/>
      <c r="L123" s="42"/>
      <c r="M123" s="42"/>
      <c r="N123" s="27">
        <f t="shared" si="7"/>
        <v>0</v>
      </c>
      <c r="O123" s="42"/>
      <c r="P123" s="42"/>
      <c r="Q123" s="42"/>
      <c r="R123" s="42"/>
      <c r="S123" s="42"/>
      <c r="T123" s="42"/>
      <c r="U123" s="42"/>
      <c r="V123" s="42"/>
      <c r="W123" s="42"/>
      <c r="X123" s="42"/>
    </row>
    <row r="124" spans="1:24" ht="18" customHeight="1" x14ac:dyDescent="0.25">
      <c r="A124" s="32" t="str">
        <f t="shared" si="8"/>
        <v>Não</v>
      </c>
      <c r="B124" s="10">
        <v>1190</v>
      </c>
      <c r="C124" s="7"/>
      <c r="D124" s="44">
        <f>IF(C124=0,0,IF(ISERROR(VLOOKUP(C124,Operações!A:D,2,FALSE)),0,VLOOKUP(C124,Operações!A:D,2,FALSE)))</f>
        <v>0</v>
      </c>
      <c r="E124" s="44">
        <f>IF(C124=0,0,IF(ISERROR(VLOOKUP(C124,Operações!A:D,3,FALSE)),0,VLOOKUP(C124,Operações!A:D,3,FALSE)))</f>
        <v>0</v>
      </c>
      <c r="F124" s="50">
        <f>IF(C124=0,0,IF(ISERROR(VLOOKUP(C124,Operações!A:D,4,FALSE)),0,VLOOKUP(C124,Operações!A:D,4,FALSE)))</f>
        <v>0</v>
      </c>
      <c r="G124" s="79">
        <f t="shared" si="6"/>
        <v>0</v>
      </c>
      <c r="H124" s="42"/>
      <c r="I124" s="42"/>
      <c r="J124" s="42"/>
      <c r="K124" s="42"/>
      <c r="L124" s="42"/>
      <c r="M124" s="42"/>
      <c r="N124" s="27">
        <f t="shared" si="7"/>
        <v>0</v>
      </c>
      <c r="O124" s="42"/>
      <c r="P124" s="42"/>
      <c r="Q124" s="42"/>
      <c r="R124" s="42"/>
      <c r="S124" s="42"/>
      <c r="T124" s="42"/>
      <c r="U124" s="42"/>
      <c r="V124" s="42"/>
      <c r="W124" s="42"/>
      <c r="X124" s="42"/>
    </row>
    <row r="125" spans="1:24" ht="18" customHeight="1" x14ac:dyDescent="0.25">
      <c r="A125" s="32" t="str">
        <f t="shared" si="5"/>
        <v>Não</v>
      </c>
      <c r="B125" s="8">
        <v>1200</v>
      </c>
      <c r="C125" s="7"/>
      <c r="D125" s="44">
        <f>IF(C125=0,0,IF(ISERROR(VLOOKUP(C125,Operações!A:D,2,FALSE)),0,VLOOKUP(C125,Operações!A:D,2,FALSE)))</f>
        <v>0</v>
      </c>
      <c r="E125" s="44">
        <f>IF(C125=0,0,IF(ISERROR(VLOOKUP(C125,Operações!A:D,3,FALSE)),0,VLOOKUP(C125,Operações!A:D,3,FALSE)))</f>
        <v>0</v>
      </c>
      <c r="F125" s="50">
        <f>IF(C125=0,0,IF(ISERROR(VLOOKUP(C125,Operações!A:D,4,FALSE)),0,VLOOKUP(C125,Operações!A:D,4,FALSE)))</f>
        <v>0</v>
      </c>
      <c r="G125" s="79">
        <f t="shared" si="6"/>
        <v>0</v>
      </c>
      <c r="H125" s="42"/>
      <c r="I125" s="42"/>
      <c r="J125" s="42"/>
      <c r="K125" s="42"/>
      <c r="L125" s="42"/>
      <c r="M125" s="42"/>
      <c r="N125" s="27">
        <f t="shared" si="7"/>
        <v>0</v>
      </c>
      <c r="O125" s="42"/>
      <c r="P125" s="42"/>
      <c r="Q125" s="42"/>
      <c r="R125" s="42"/>
      <c r="S125" s="42"/>
      <c r="T125" s="42"/>
      <c r="U125" s="42"/>
      <c r="V125" s="42"/>
      <c r="W125" s="42"/>
      <c r="X125" s="42"/>
    </row>
    <row r="126" spans="1:24" ht="18" customHeight="1" x14ac:dyDescent="0.25">
      <c r="A126" s="33" t="s">
        <v>22</v>
      </c>
      <c r="B126" s="42"/>
      <c r="C126" s="42"/>
      <c r="D126" s="46"/>
      <c r="E126" s="46" t="s">
        <v>6</v>
      </c>
      <c r="F126" s="49">
        <f>SUM(F6:F125)</f>
        <v>0</v>
      </c>
      <c r="G126" s="42"/>
      <c r="H126" s="42"/>
      <c r="I126" s="42"/>
      <c r="J126" s="42"/>
      <c r="K126" s="42"/>
      <c r="L126" s="42"/>
      <c r="M126" s="42"/>
      <c r="O126" s="42"/>
      <c r="P126" s="42"/>
      <c r="Q126" s="42"/>
      <c r="R126" s="42"/>
      <c r="S126" s="42"/>
      <c r="T126" s="42"/>
      <c r="U126" s="42"/>
      <c r="V126" s="42"/>
      <c r="W126" s="42"/>
      <c r="X126" s="42"/>
    </row>
    <row r="127" spans="1:24" x14ac:dyDescent="0.25">
      <c r="B127" s="42"/>
      <c r="C127" s="42"/>
      <c r="D127" s="42"/>
      <c r="E127" s="42"/>
      <c r="F127" s="42"/>
      <c r="G127" s="42"/>
      <c r="H127" s="42"/>
      <c r="I127" s="42"/>
      <c r="J127" s="42"/>
      <c r="K127" s="42"/>
      <c r="L127" s="42"/>
      <c r="M127" s="42"/>
      <c r="O127" s="42"/>
      <c r="P127" s="42"/>
      <c r="Q127" s="42"/>
      <c r="R127" s="42"/>
      <c r="S127" s="42"/>
      <c r="T127" s="42"/>
      <c r="U127" s="42"/>
      <c r="V127" s="42"/>
      <c r="W127" s="42"/>
      <c r="X127" s="42"/>
    </row>
    <row r="128" spans="1:24" x14ac:dyDescent="0.25">
      <c r="B128" s="42"/>
      <c r="C128" s="42"/>
      <c r="D128" s="42"/>
      <c r="E128" s="42"/>
      <c r="F128" s="42"/>
      <c r="G128" s="42"/>
      <c r="H128" s="42"/>
      <c r="I128" s="42"/>
      <c r="J128" s="42"/>
      <c r="K128" s="42"/>
      <c r="L128" s="42"/>
      <c r="M128" s="42"/>
      <c r="O128" s="42"/>
      <c r="P128" s="42"/>
      <c r="Q128" s="42"/>
      <c r="R128" s="42"/>
      <c r="S128" s="42"/>
      <c r="T128" s="42"/>
      <c r="U128" s="42"/>
      <c r="V128" s="42"/>
      <c r="W128" s="42"/>
      <c r="X128" s="42"/>
    </row>
    <row r="129" spans="2:24" x14ac:dyDescent="0.25">
      <c r="B129" s="42"/>
      <c r="C129" s="42"/>
      <c r="D129" s="42"/>
      <c r="E129" s="42"/>
      <c r="F129" s="42"/>
      <c r="G129" s="42"/>
      <c r="H129" s="42"/>
      <c r="I129" s="42"/>
      <c r="J129" s="42"/>
      <c r="K129" s="42"/>
      <c r="L129" s="42"/>
      <c r="M129" s="42"/>
      <c r="O129" s="42"/>
      <c r="P129" s="42"/>
      <c r="Q129" s="42"/>
      <c r="R129" s="42"/>
      <c r="S129" s="42"/>
      <c r="T129" s="42"/>
      <c r="U129" s="42"/>
      <c r="V129" s="42"/>
      <c r="W129" s="42"/>
      <c r="X129" s="42"/>
    </row>
    <row r="130" spans="2:24" ht="0.2" customHeight="1" x14ac:dyDescent="0.25">
      <c r="B130" s="42"/>
      <c r="C130" s="42"/>
      <c r="D130" s="51">
        <f>IF(C130=0,0,IF(ISERROR(VLOOKUP(C130,Operações!A:D,2,FALSE)),0,VLOOKUP(C130,Operações!A:D,2,FALSE)))</f>
        <v>0</v>
      </c>
      <c r="E130" s="51">
        <f>IF(C130=0,0,IF(ISERROR(VLOOKUP(C130,Operações!A:D,3,FALSE)),0,VLOOKUP(C130,Operações!A:D,3,FALSE)))</f>
        <v>0</v>
      </c>
      <c r="F130" s="52">
        <f>IF(C130=0,0,IF(ISERROR(VLOOKUP(C130,Operações!A:D,4,FALSE)),0,VLOOKUP(C130,Operações!A:D,4,FALSE)))</f>
        <v>0</v>
      </c>
      <c r="G130" s="42"/>
      <c r="H130" s="42"/>
      <c r="I130" s="42"/>
      <c r="J130" s="42"/>
      <c r="K130" s="42"/>
      <c r="L130" s="42"/>
      <c r="M130" s="42"/>
      <c r="O130" s="42"/>
      <c r="P130" s="42"/>
      <c r="Q130" s="42"/>
      <c r="R130" s="42"/>
      <c r="S130" s="42"/>
      <c r="T130" s="42"/>
      <c r="U130" s="42"/>
      <c r="V130" s="42"/>
      <c r="W130" s="42"/>
      <c r="X130" s="42"/>
    </row>
    <row r="131" spans="2:24" x14ac:dyDescent="0.25">
      <c r="B131" s="42"/>
      <c r="C131" s="42"/>
      <c r="D131" s="42"/>
      <c r="E131" s="42"/>
      <c r="F131" s="42"/>
      <c r="G131" s="42"/>
      <c r="H131" s="42"/>
      <c r="I131" s="42"/>
      <c r="J131" s="42"/>
      <c r="K131" s="42"/>
      <c r="L131" s="42"/>
      <c r="M131" s="42"/>
      <c r="O131" s="42"/>
      <c r="P131" s="42"/>
      <c r="Q131" s="42"/>
      <c r="R131" s="42"/>
      <c r="S131" s="42"/>
      <c r="T131" s="42"/>
      <c r="U131" s="42"/>
      <c r="V131" s="42"/>
      <c r="W131" s="42"/>
      <c r="X131" s="42"/>
    </row>
    <row r="132" spans="2:24" x14ac:dyDescent="0.25">
      <c r="B132" s="42"/>
      <c r="C132" s="42"/>
      <c r="D132" s="42"/>
      <c r="E132" s="42"/>
      <c r="F132" s="42"/>
      <c r="G132" s="42"/>
      <c r="H132" s="42"/>
      <c r="I132" s="42"/>
      <c r="J132" s="42"/>
      <c r="K132" s="42"/>
      <c r="L132" s="42"/>
      <c r="M132" s="42"/>
      <c r="O132" s="42"/>
      <c r="P132" s="42"/>
      <c r="Q132" s="42"/>
      <c r="R132" s="42"/>
      <c r="S132" s="42"/>
      <c r="T132" s="42"/>
      <c r="U132" s="42"/>
      <c r="V132" s="42"/>
      <c r="W132" s="42"/>
      <c r="X132" s="42"/>
    </row>
    <row r="133" spans="2:24" x14ac:dyDescent="0.25">
      <c r="B133" s="42"/>
      <c r="C133" s="42"/>
      <c r="D133" s="42"/>
      <c r="E133" s="42"/>
      <c r="F133" s="42"/>
      <c r="G133" s="42"/>
      <c r="H133" s="42"/>
      <c r="I133" s="42"/>
      <c r="J133" s="42"/>
      <c r="K133" s="42"/>
      <c r="L133" s="42"/>
      <c r="M133" s="42"/>
      <c r="O133" s="42"/>
      <c r="P133" s="42"/>
      <c r="Q133" s="42"/>
      <c r="R133" s="42"/>
      <c r="S133" s="42"/>
      <c r="T133" s="42"/>
      <c r="U133" s="42"/>
      <c r="V133" s="42"/>
      <c r="W133" s="42"/>
      <c r="X133" s="42"/>
    </row>
    <row r="134" spans="2:24" x14ac:dyDescent="0.25">
      <c r="B134" s="42"/>
      <c r="C134" s="42"/>
      <c r="D134" s="42"/>
      <c r="E134" s="42"/>
      <c r="F134" s="42"/>
      <c r="G134" s="42"/>
      <c r="H134" s="42"/>
      <c r="I134" s="42"/>
      <c r="J134" s="42"/>
      <c r="K134" s="42"/>
      <c r="L134" s="42"/>
      <c r="M134" s="42"/>
      <c r="O134" s="42"/>
      <c r="P134" s="42"/>
      <c r="Q134" s="42"/>
      <c r="R134" s="42"/>
      <c r="S134" s="42"/>
      <c r="T134" s="42"/>
      <c r="U134" s="42"/>
      <c r="V134" s="42"/>
      <c r="W134" s="42"/>
      <c r="X134" s="42"/>
    </row>
    <row r="135" spans="2:24" x14ac:dyDescent="0.25">
      <c r="B135" s="42"/>
      <c r="C135" s="42"/>
      <c r="D135" s="42"/>
      <c r="E135" s="42"/>
      <c r="F135" s="42"/>
      <c r="G135" s="42"/>
      <c r="H135" s="42"/>
      <c r="I135" s="42"/>
      <c r="J135" s="42"/>
      <c r="K135" s="42"/>
      <c r="L135" s="42"/>
      <c r="M135" s="42"/>
      <c r="O135" s="42"/>
      <c r="P135" s="42"/>
      <c r="Q135" s="42"/>
      <c r="R135" s="42"/>
      <c r="S135" s="42"/>
      <c r="T135" s="42"/>
      <c r="U135" s="42"/>
      <c r="V135" s="42"/>
      <c r="W135" s="42"/>
      <c r="X135" s="42"/>
    </row>
    <row r="136" spans="2:24" x14ac:dyDescent="0.25">
      <c r="B136" s="42"/>
      <c r="C136" s="42"/>
      <c r="D136" s="42"/>
      <c r="E136" s="42"/>
      <c r="F136" s="42"/>
      <c r="G136" s="42"/>
      <c r="H136" s="42"/>
      <c r="I136" s="42"/>
      <c r="J136" s="42"/>
      <c r="K136" s="42"/>
      <c r="L136" s="42"/>
      <c r="M136" s="42"/>
      <c r="O136" s="42"/>
      <c r="P136" s="42"/>
      <c r="Q136" s="42"/>
      <c r="R136" s="42"/>
      <c r="S136" s="42"/>
      <c r="T136" s="42"/>
      <c r="U136" s="42"/>
      <c r="V136" s="42"/>
      <c r="W136" s="42"/>
      <c r="X136" s="42"/>
    </row>
    <row r="137" spans="2:24" x14ac:dyDescent="0.25">
      <c r="B137" s="42"/>
      <c r="C137" s="42"/>
      <c r="D137" s="42"/>
      <c r="E137" s="42"/>
      <c r="F137" s="42"/>
      <c r="G137" s="42"/>
      <c r="H137" s="42"/>
      <c r="I137" s="42"/>
      <c r="J137" s="42"/>
      <c r="K137" s="42"/>
      <c r="L137" s="42"/>
      <c r="M137" s="42"/>
      <c r="O137" s="42"/>
      <c r="P137" s="42"/>
      <c r="Q137" s="42"/>
      <c r="R137" s="42"/>
      <c r="S137" s="42"/>
      <c r="T137" s="42"/>
      <c r="U137" s="42"/>
      <c r="V137" s="42"/>
      <c r="W137" s="42"/>
      <c r="X137" s="42"/>
    </row>
    <row r="138" spans="2:24" x14ac:dyDescent="0.25">
      <c r="B138" s="42"/>
      <c r="C138" s="42"/>
      <c r="D138" s="42"/>
      <c r="E138" s="42"/>
      <c r="F138" s="42"/>
      <c r="G138" s="42"/>
      <c r="H138" s="42"/>
      <c r="I138" s="42"/>
      <c r="J138" s="42"/>
      <c r="K138" s="42"/>
      <c r="L138" s="42"/>
      <c r="M138" s="42"/>
      <c r="O138" s="42"/>
      <c r="P138" s="42"/>
      <c r="Q138" s="42"/>
      <c r="R138" s="42"/>
      <c r="S138" s="42"/>
      <c r="T138" s="42"/>
      <c r="U138" s="42"/>
      <c r="V138" s="42"/>
      <c r="W138" s="42"/>
      <c r="X138" s="42"/>
    </row>
    <row r="139" spans="2:24" x14ac:dyDescent="0.25">
      <c r="B139" s="42"/>
      <c r="C139" s="42"/>
      <c r="D139" s="42"/>
      <c r="E139" s="42"/>
      <c r="F139" s="42"/>
      <c r="G139" s="42"/>
      <c r="H139" s="42"/>
      <c r="I139" s="42"/>
      <c r="J139" s="42"/>
      <c r="K139" s="42"/>
      <c r="L139" s="42"/>
      <c r="M139" s="42"/>
      <c r="O139" s="42"/>
      <c r="P139" s="42"/>
      <c r="Q139" s="42"/>
      <c r="R139" s="42"/>
      <c r="S139" s="42"/>
      <c r="T139" s="42"/>
      <c r="U139" s="42"/>
      <c r="V139" s="42"/>
      <c r="W139" s="42"/>
      <c r="X139" s="42"/>
    </row>
    <row r="140" spans="2:24" x14ac:dyDescent="0.25">
      <c r="B140" s="42"/>
      <c r="C140" s="42"/>
      <c r="D140" s="42"/>
      <c r="E140" s="42"/>
      <c r="F140" s="42"/>
      <c r="G140" s="42"/>
      <c r="H140" s="42"/>
      <c r="I140" s="42"/>
      <c r="J140" s="42"/>
      <c r="K140" s="42"/>
      <c r="L140" s="42"/>
      <c r="M140" s="42"/>
      <c r="O140" s="42"/>
      <c r="P140" s="42"/>
      <c r="Q140" s="42"/>
      <c r="R140" s="42"/>
      <c r="S140" s="42"/>
      <c r="T140" s="42"/>
      <c r="U140" s="42"/>
      <c r="V140" s="42"/>
      <c r="W140" s="42"/>
      <c r="X140" s="42"/>
    </row>
    <row r="141" spans="2:24" x14ac:dyDescent="0.25">
      <c r="B141" s="42"/>
      <c r="C141" s="42"/>
      <c r="D141" s="42"/>
      <c r="E141" s="42"/>
      <c r="F141" s="42"/>
      <c r="G141" s="42"/>
      <c r="H141" s="42"/>
      <c r="I141" s="42"/>
      <c r="J141" s="42"/>
      <c r="K141" s="42"/>
      <c r="L141" s="42"/>
      <c r="M141" s="42"/>
      <c r="O141" s="42"/>
      <c r="P141" s="42"/>
      <c r="Q141" s="42"/>
      <c r="R141" s="42"/>
      <c r="S141" s="42"/>
      <c r="T141" s="42"/>
      <c r="U141" s="42"/>
      <c r="V141" s="42"/>
      <c r="W141" s="42"/>
      <c r="X141" s="42"/>
    </row>
    <row r="142" spans="2:24" x14ac:dyDescent="0.25">
      <c r="B142" s="42"/>
      <c r="C142" s="42"/>
      <c r="D142" s="42"/>
      <c r="E142" s="42"/>
      <c r="F142" s="42"/>
      <c r="G142" s="42"/>
      <c r="H142" s="42"/>
      <c r="I142" s="42"/>
      <c r="J142" s="42"/>
      <c r="K142" s="42"/>
      <c r="L142" s="42"/>
      <c r="M142" s="42"/>
      <c r="O142" s="42"/>
      <c r="P142" s="42"/>
      <c r="Q142" s="42"/>
      <c r="R142" s="42"/>
      <c r="S142" s="42"/>
      <c r="T142" s="42"/>
      <c r="U142" s="42"/>
      <c r="V142" s="42"/>
      <c r="W142" s="42"/>
      <c r="X142" s="42"/>
    </row>
    <row r="143" spans="2:24" x14ac:dyDescent="0.25">
      <c r="B143" s="42"/>
      <c r="C143" s="42"/>
      <c r="D143" s="42"/>
      <c r="E143" s="42"/>
      <c r="F143" s="42"/>
      <c r="G143" s="42"/>
      <c r="H143" s="42"/>
      <c r="I143" s="42"/>
      <c r="J143" s="42"/>
      <c r="K143" s="42"/>
      <c r="L143" s="42"/>
      <c r="M143" s="42"/>
      <c r="O143" s="42"/>
      <c r="P143" s="42"/>
      <c r="Q143" s="42"/>
      <c r="R143" s="42"/>
      <c r="S143" s="42"/>
      <c r="T143" s="42"/>
      <c r="U143" s="42"/>
      <c r="V143" s="42"/>
      <c r="W143" s="42"/>
      <c r="X143" s="42"/>
    </row>
    <row r="144" spans="2:24" x14ac:dyDescent="0.25">
      <c r="B144" s="42"/>
      <c r="C144" s="42"/>
      <c r="D144" s="42"/>
      <c r="E144" s="42"/>
      <c r="F144" s="42"/>
      <c r="G144" s="42"/>
      <c r="H144" s="42"/>
      <c r="I144" s="42"/>
      <c r="J144" s="42"/>
      <c r="K144" s="42"/>
      <c r="L144" s="42"/>
      <c r="M144" s="42"/>
      <c r="O144" s="42"/>
      <c r="P144" s="42"/>
      <c r="Q144" s="42"/>
      <c r="R144" s="42"/>
      <c r="S144" s="42"/>
      <c r="T144" s="42"/>
      <c r="U144" s="42"/>
      <c r="V144" s="42"/>
      <c r="W144" s="42"/>
      <c r="X144" s="42"/>
    </row>
    <row r="145" spans="2:24" x14ac:dyDescent="0.25">
      <c r="B145" s="42"/>
      <c r="C145" s="42"/>
      <c r="D145" s="42"/>
      <c r="E145" s="42"/>
      <c r="F145" s="42"/>
      <c r="G145" s="42"/>
      <c r="H145" s="42"/>
      <c r="I145" s="42"/>
      <c r="J145" s="42"/>
      <c r="K145" s="42"/>
      <c r="L145" s="42"/>
      <c r="M145" s="42"/>
      <c r="O145" s="42"/>
      <c r="P145" s="42"/>
      <c r="Q145" s="42"/>
      <c r="R145" s="42"/>
      <c r="S145" s="42"/>
      <c r="T145" s="42"/>
      <c r="U145" s="42"/>
      <c r="V145" s="42"/>
      <c r="W145" s="42"/>
      <c r="X145" s="42"/>
    </row>
    <row r="146" spans="2:24" x14ac:dyDescent="0.25">
      <c r="B146" s="42"/>
      <c r="C146" s="42"/>
      <c r="D146" s="42"/>
      <c r="E146" s="42"/>
      <c r="F146" s="42"/>
      <c r="G146" s="42"/>
      <c r="H146" s="42"/>
      <c r="I146" s="42"/>
      <c r="J146" s="42"/>
      <c r="K146" s="42"/>
      <c r="L146" s="42"/>
      <c r="M146" s="42"/>
      <c r="O146" s="42"/>
      <c r="P146" s="42"/>
      <c r="Q146" s="42"/>
      <c r="R146" s="42"/>
      <c r="S146" s="42"/>
      <c r="T146" s="42"/>
      <c r="U146" s="42"/>
      <c r="V146" s="42"/>
      <c r="W146" s="42"/>
      <c r="X146" s="42"/>
    </row>
    <row r="147" spans="2:24" x14ac:dyDescent="0.25">
      <c r="B147" s="42"/>
      <c r="C147" s="42"/>
      <c r="D147" s="42"/>
      <c r="E147" s="42"/>
      <c r="F147" s="42"/>
      <c r="G147" s="42"/>
      <c r="H147" s="42"/>
      <c r="I147" s="42"/>
      <c r="J147" s="42"/>
      <c r="K147" s="42"/>
      <c r="L147" s="42"/>
      <c r="M147" s="42"/>
      <c r="O147" s="42"/>
      <c r="P147" s="42"/>
      <c r="Q147" s="42"/>
      <c r="R147" s="42"/>
      <c r="S147" s="42"/>
      <c r="T147" s="42"/>
      <c r="U147" s="42"/>
      <c r="V147" s="42"/>
      <c r="W147" s="42"/>
      <c r="X147" s="42"/>
    </row>
    <row r="148" spans="2:24" x14ac:dyDescent="0.25">
      <c r="B148" s="42"/>
      <c r="C148" s="42"/>
      <c r="D148" s="42"/>
      <c r="E148" s="42"/>
      <c r="F148" s="42"/>
      <c r="G148" s="42"/>
      <c r="H148" s="42"/>
      <c r="I148" s="42"/>
      <c r="J148" s="42"/>
      <c r="K148" s="42"/>
      <c r="L148" s="42"/>
      <c r="M148" s="42"/>
      <c r="O148" s="42"/>
      <c r="P148" s="42"/>
      <c r="Q148" s="42"/>
      <c r="R148" s="42"/>
      <c r="S148" s="42"/>
      <c r="T148" s="42"/>
      <c r="U148" s="42"/>
      <c r="V148" s="42"/>
      <c r="W148" s="42"/>
      <c r="X148" s="42"/>
    </row>
  </sheetData>
  <sheetProtection sheet="1" objects="1" scenarios="1" autoFilter="0"/>
  <autoFilter ref="A4:F126" xr:uid="{00000000-0009-0000-0000-000001000000}"/>
  <sortState xmlns:xlrd2="http://schemas.microsoft.com/office/spreadsheetml/2017/richdata2" ref="B6:F125">
    <sortCondition ref="B6:B125"/>
  </sortState>
  <mergeCells count="2">
    <mergeCell ref="C3:F3"/>
    <mergeCell ref="D2:E2"/>
  </mergeCells>
  <conditionalFormatting sqref="C6:C125">
    <cfRule type="duplicateValues" dxfId="24" priority="12"/>
  </conditionalFormatting>
  <conditionalFormatting sqref="D2:E2">
    <cfRule type="expression" dxfId="23" priority="3">
      <formula>$N$3="Já cadastrada."</formula>
    </cfRule>
  </conditionalFormatting>
  <conditionalFormatting sqref="H5:M5">
    <cfRule type="expression" dxfId="22" priority="2">
      <formula>$H$5&lt;&gt;""</formula>
    </cfRule>
  </conditionalFormatting>
  <conditionalFormatting sqref="C2">
    <cfRule type="expression" dxfId="21" priority="1">
      <formula>$N$3="Já cadastrada."</formula>
    </cfRule>
  </conditionalFormatting>
  <dataValidations count="4">
    <dataValidation type="list" errorStyle="warning" showInputMessage="1" errorTitle="OPERAÇÃO NÃO CADASTRADA!" error="Deseja continuar? Senão clique em &quot;Cancelar&quot; e busque uma operação já cadastrada ou cadastre esta operação." sqref="C6:C125" xr:uid="{00000000-0002-0000-0100-000000000000}">
      <formula1>Operações</formula1>
    </dataValidation>
    <dataValidation type="list" showInputMessage="1" showErrorMessage="1" errorTitle="REFERÊNCIA NÃO CADASTRADA!" error="Clique sobre a célula para buscar uma Referência já cadastrada (para localizar use a barra de rolagem) ou cadastre esta Referência." sqref="C2" xr:uid="{00000000-0002-0000-0100-000001000000}">
      <formula1>Referência</formula1>
    </dataValidation>
    <dataValidation type="list" showInputMessage="1" showErrorMessage="1" errorTitle="TIPO MÁQUINA INEXISTENTE!" error="Clique na célula para buscar um Tipo de Máquina existente. Caso não tenha, faça o cadastro em &quot; Máquinas&quot;." sqref="D6:D125 D130" xr:uid="{00000000-0002-0000-0100-000002000000}">
      <formula1>Máquina</formula1>
    </dataValidation>
    <dataValidation type="list" showInputMessage="1" showErrorMessage="1" errorTitle="TIPO DE APARELHO INEXISTENTE!" error="Clique na célula para buscar um Tipo de Aparelho existente. Caso não tenha, faça o cadastro em &quot; Aparelhos&quot;." sqref="E6:E125 E130" xr:uid="{00000000-0002-0000-0100-000003000000}">
      <formula1>Aparelho</formula1>
    </dataValidation>
  </dataValidations>
  <printOptions horizontalCentered="1"/>
  <pageMargins left="0" right="0" top="0.39370078740157483" bottom="0.39370078740157483" header="0.19685039370078741" footer="0"/>
  <pageSetup paperSize="9" orientation="portrait" blackAndWhite="1" r:id="rId1"/>
  <headerFooter>
    <oddHeader>&amp;R&amp;D   &amp;Th</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6"/>
  <dimension ref="A1:J122"/>
  <sheetViews>
    <sheetView showZeros="0" workbookViewId="0">
      <pane ySplit="7" topLeftCell="A8" activePane="bottomLeft" state="frozen"/>
      <selection pane="bottomLeft" activeCell="A3" sqref="A3"/>
    </sheetView>
  </sheetViews>
  <sheetFormatPr defaultRowHeight="15" x14ac:dyDescent="0.25"/>
  <cols>
    <col min="1" max="1" width="7" bestFit="1" customWidth="1"/>
    <col min="2" max="2" width="11.42578125" customWidth="1"/>
    <col min="3" max="3" width="5.140625" customWidth="1"/>
    <col min="4" max="4" width="36.5703125" customWidth="1"/>
    <col min="5" max="6" width="10" customWidth="1"/>
    <col min="7" max="7" width="10" style="108" customWidth="1"/>
    <col min="8" max="8" width="13.42578125" style="15" customWidth="1"/>
    <col min="9" max="10" width="3.7109375" customWidth="1"/>
  </cols>
  <sheetData>
    <row r="1" spans="1:10" ht="21.75" customHeight="1" x14ac:dyDescent="0.25">
      <c r="A1" s="77"/>
      <c r="B1" s="72">
        <f>'Seq. Operacional'!$C$2</f>
        <v>0</v>
      </c>
      <c r="C1" s="73" t="str">
        <f>CONCATENATE(B1,"-",A1)</f>
        <v>0-</v>
      </c>
      <c r="D1" s="77"/>
      <c r="E1" s="77"/>
      <c r="F1" s="77"/>
      <c r="G1" s="76"/>
      <c r="H1" s="74">
        <f ca="1">'Seq. Operacional'!$F$1</f>
        <v>46133</v>
      </c>
      <c r="I1" s="75">
        <f>IF(E1=0,0,CONCATENATE(B1,"-",E1))</f>
        <v>0</v>
      </c>
      <c r="J1" s="75">
        <f>IF(F1=0,0,CONCATENATE(B1,"-",F1))</f>
        <v>0</v>
      </c>
    </row>
    <row r="2" spans="1:10" ht="72.75" thickBot="1" x14ac:dyDescent="0.3">
      <c r="A2" s="78" t="s">
        <v>13</v>
      </c>
      <c r="B2" s="78" t="s">
        <v>17</v>
      </c>
      <c r="C2" s="69" t="s">
        <v>30</v>
      </c>
      <c r="D2" s="78" t="s">
        <v>27</v>
      </c>
      <c r="E2" s="64" t="s">
        <v>4</v>
      </c>
      <c r="F2" s="64" t="s">
        <v>15</v>
      </c>
      <c r="G2" s="109" t="s">
        <v>11</v>
      </c>
      <c r="H2" s="64" t="s">
        <v>20</v>
      </c>
      <c r="I2" s="70" t="s">
        <v>32</v>
      </c>
      <c r="J2" s="70" t="s">
        <v>33</v>
      </c>
    </row>
    <row r="3" spans="1:10" ht="18" customHeight="1" x14ac:dyDescent="0.25">
      <c r="A3" s="71"/>
      <c r="B3" s="72"/>
      <c r="C3" s="73"/>
      <c r="D3" s="77"/>
      <c r="E3" s="77"/>
      <c r="F3" s="77"/>
      <c r="G3" s="76"/>
      <c r="H3" s="74"/>
      <c r="I3" s="75"/>
      <c r="J3" s="75"/>
    </row>
    <row r="4" spans="1:10" ht="18" customHeight="1" x14ac:dyDescent="0.25">
      <c r="A4" s="71"/>
      <c r="B4" s="72"/>
      <c r="C4" s="73"/>
      <c r="D4" s="77"/>
      <c r="E4" s="77"/>
      <c r="F4" s="77"/>
      <c r="G4" s="76"/>
      <c r="H4" s="74"/>
      <c r="I4" s="75"/>
      <c r="J4" s="75"/>
    </row>
    <row r="5" spans="1:10" ht="18" customHeight="1" x14ac:dyDescent="0.25">
      <c r="A5" s="71"/>
      <c r="B5" s="72"/>
      <c r="C5" s="73"/>
      <c r="D5" s="77"/>
      <c r="E5" s="77"/>
      <c r="F5" s="77"/>
      <c r="G5" s="76"/>
      <c r="H5" s="74"/>
      <c r="I5" s="75"/>
      <c r="J5" s="75"/>
    </row>
    <row r="6" spans="1:10" ht="18" customHeight="1" x14ac:dyDescent="0.25">
      <c r="A6" s="71"/>
      <c r="B6" s="72"/>
      <c r="C6" s="73"/>
      <c r="D6" s="77"/>
      <c r="E6" s="77"/>
      <c r="F6" s="77"/>
      <c r="G6" s="76"/>
      <c r="H6" s="74"/>
      <c r="I6" s="75"/>
      <c r="J6" s="75"/>
    </row>
    <row r="7" spans="1:10" ht="18" customHeight="1" x14ac:dyDescent="0.25">
      <c r="A7" s="71"/>
      <c r="B7" s="72"/>
      <c r="C7" s="73"/>
      <c r="D7" s="77"/>
      <c r="E7" s="77"/>
      <c r="F7" s="77"/>
      <c r="G7" s="76"/>
      <c r="H7" s="74"/>
      <c r="I7" s="75"/>
      <c r="J7" s="75"/>
    </row>
    <row r="8" spans="1:10" ht="18" customHeight="1" x14ac:dyDescent="0.25">
      <c r="A8" s="71"/>
      <c r="B8" s="72"/>
      <c r="C8" s="73"/>
      <c r="D8" s="77"/>
      <c r="E8" s="77"/>
      <c r="F8" s="77"/>
      <c r="G8" s="76"/>
      <c r="H8" s="74"/>
      <c r="I8" s="75"/>
      <c r="J8" s="75"/>
    </row>
    <row r="9" spans="1:10" ht="18" customHeight="1" x14ac:dyDescent="0.25">
      <c r="A9" s="71"/>
      <c r="B9" s="72"/>
      <c r="C9" s="73"/>
      <c r="D9" s="77"/>
      <c r="E9" s="77"/>
      <c r="F9" s="77"/>
      <c r="G9" s="76"/>
      <c r="H9" s="74"/>
      <c r="I9" s="75"/>
      <c r="J9" s="75"/>
    </row>
    <row r="10" spans="1:10" ht="18" customHeight="1" x14ac:dyDescent="0.25">
      <c r="A10" s="71"/>
      <c r="B10" s="72"/>
      <c r="C10" s="73"/>
      <c r="D10" s="77"/>
      <c r="E10" s="77"/>
      <c r="F10" s="77"/>
      <c r="G10" s="76"/>
      <c r="H10" s="74"/>
      <c r="I10" s="75"/>
      <c r="J10" s="75"/>
    </row>
    <row r="11" spans="1:10" ht="18" customHeight="1" x14ac:dyDescent="0.25">
      <c r="A11" s="71"/>
      <c r="B11" s="72"/>
      <c r="C11" s="73"/>
      <c r="D11" s="77"/>
      <c r="E11" s="77"/>
      <c r="F11" s="77"/>
      <c r="G11" s="76"/>
      <c r="H11" s="74"/>
      <c r="I11" s="75"/>
      <c r="J11" s="75"/>
    </row>
    <row r="12" spans="1:10" ht="18" customHeight="1" x14ac:dyDescent="0.25">
      <c r="A12" s="71"/>
      <c r="B12" s="72"/>
      <c r="C12" s="73"/>
      <c r="D12" s="77"/>
      <c r="E12" s="77"/>
      <c r="F12" s="77"/>
      <c r="G12" s="76"/>
      <c r="H12" s="74"/>
      <c r="I12" s="75"/>
      <c r="J12" s="75"/>
    </row>
    <row r="13" spans="1:10" ht="18" customHeight="1" x14ac:dyDescent="0.25">
      <c r="A13" s="71"/>
      <c r="B13" s="72"/>
      <c r="C13" s="73"/>
      <c r="D13" s="77"/>
      <c r="E13" s="77"/>
      <c r="F13" s="77"/>
      <c r="G13" s="76"/>
      <c r="H13" s="74"/>
      <c r="I13" s="75"/>
      <c r="J13" s="75"/>
    </row>
    <row r="14" spans="1:10" ht="18" customHeight="1" x14ac:dyDescent="0.25">
      <c r="A14" s="71"/>
      <c r="B14" s="72"/>
      <c r="C14" s="73"/>
      <c r="D14" s="77"/>
      <c r="E14" s="77"/>
      <c r="F14" s="77"/>
      <c r="G14" s="76"/>
      <c r="H14" s="74"/>
      <c r="I14" s="75"/>
      <c r="J14" s="75"/>
    </row>
    <row r="15" spans="1:10" ht="18" customHeight="1" x14ac:dyDescent="0.25">
      <c r="A15" s="71"/>
      <c r="B15" s="72"/>
      <c r="C15" s="73"/>
      <c r="D15" s="77"/>
      <c r="E15" s="77"/>
      <c r="F15" s="77"/>
      <c r="G15" s="76"/>
      <c r="H15" s="74"/>
      <c r="I15" s="75"/>
      <c r="J15" s="75"/>
    </row>
    <row r="16" spans="1:10" ht="18" customHeight="1" x14ac:dyDescent="0.25">
      <c r="A16" s="71"/>
      <c r="B16" s="72"/>
      <c r="C16" s="73"/>
      <c r="D16" s="77"/>
      <c r="E16" s="77"/>
      <c r="F16" s="77"/>
      <c r="G16" s="76"/>
      <c r="H16" s="74"/>
      <c r="I16" s="75"/>
      <c r="J16" s="75"/>
    </row>
    <row r="17" spans="1:10" ht="18" customHeight="1" x14ac:dyDescent="0.25">
      <c r="A17" s="71"/>
      <c r="B17" s="72"/>
      <c r="C17" s="73"/>
      <c r="D17" s="77"/>
      <c r="E17" s="77"/>
      <c r="F17" s="77"/>
      <c r="G17" s="76"/>
      <c r="H17" s="74"/>
      <c r="I17" s="75"/>
      <c r="J17" s="75"/>
    </row>
    <row r="18" spans="1:10" ht="18" customHeight="1" x14ac:dyDescent="0.25">
      <c r="A18" s="71"/>
      <c r="B18" s="72"/>
      <c r="C18" s="73"/>
      <c r="D18" s="77"/>
      <c r="E18" s="77"/>
      <c r="F18" s="77"/>
      <c r="G18" s="76"/>
      <c r="H18" s="74"/>
      <c r="I18" s="75"/>
      <c r="J18" s="75"/>
    </row>
    <row r="19" spans="1:10" ht="18" customHeight="1" x14ac:dyDescent="0.25">
      <c r="A19" s="71"/>
      <c r="B19" s="72"/>
      <c r="C19" s="73"/>
      <c r="D19" s="77"/>
      <c r="E19" s="77"/>
      <c r="F19" s="77"/>
      <c r="G19" s="76"/>
      <c r="H19" s="74"/>
      <c r="I19" s="75"/>
      <c r="J19" s="75"/>
    </row>
    <row r="20" spans="1:10" ht="18" customHeight="1" x14ac:dyDescent="0.25">
      <c r="A20" s="71"/>
      <c r="B20" s="72"/>
      <c r="C20" s="73"/>
      <c r="D20" s="77"/>
      <c r="E20" s="77"/>
      <c r="F20" s="77"/>
      <c r="G20" s="76"/>
      <c r="H20" s="74"/>
      <c r="I20" s="75"/>
      <c r="J20" s="75"/>
    </row>
    <row r="21" spans="1:10" ht="18" customHeight="1" x14ac:dyDescent="0.25">
      <c r="A21" s="71"/>
      <c r="B21" s="72"/>
      <c r="C21" s="73"/>
      <c r="D21" s="77"/>
      <c r="E21" s="77"/>
      <c r="F21" s="77"/>
      <c r="G21" s="76"/>
      <c r="H21" s="74"/>
      <c r="I21" s="75"/>
      <c r="J21" s="75"/>
    </row>
    <row r="22" spans="1:10" ht="18" customHeight="1" x14ac:dyDescent="0.25">
      <c r="A22" s="71"/>
      <c r="B22" s="72"/>
      <c r="C22" s="73"/>
      <c r="D22" s="77"/>
      <c r="E22" s="77"/>
      <c r="F22" s="77"/>
      <c r="G22" s="76"/>
      <c r="H22" s="74"/>
      <c r="I22" s="75"/>
      <c r="J22" s="75"/>
    </row>
    <row r="23" spans="1:10" ht="18" customHeight="1" x14ac:dyDescent="0.25">
      <c r="A23" s="71"/>
      <c r="B23" s="72"/>
      <c r="C23" s="73"/>
      <c r="D23" s="77"/>
      <c r="E23" s="77"/>
      <c r="F23" s="77"/>
      <c r="G23" s="76"/>
      <c r="H23" s="74"/>
      <c r="I23" s="75"/>
      <c r="J23" s="75"/>
    </row>
    <row r="24" spans="1:10" ht="18" customHeight="1" x14ac:dyDescent="0.25">
      <c r="A24" s="71"/>
      <c r="B24" s="72"/>
      <c r="C24" s="73"/>
      <c r="D24" s="77"/>
      <c r="E24" s="77"/>
      <c r="F24" s="77"/>
      <c r="G24" s="76"/>
      <c r="H24" s="74"/>
      <c r="I24" s="75"/>
      <c r="J24" s="75"/>
    </row>
    <row r="25" spans="1:10" ht="18" customHeight="1" x14ac:dyDescent="0.25">
      <c r="A25" s="71"/>
      <c r="B25" s="72"/>
      <c r="C25" s="73"/>
      <c r="D25" s="77"/>
      <c r="E25" s="77"/>
      <c r="F25" s="77"/>
      <c r="G25" s="76"/>
      <c r="H25" s="74"/>
      <c r="I25" s="75"/>
      <c r="J25" s="75"/>
    </row>
    <row r="26" spans="1:10" ht="18" customHeight="1" x14ac:dyDescent="0.25">
      <c r="A26" s="71"/>
      <c r="B26" s="72"/>
      <c r="C26" s="73"/>
      <c r="D26" s="77"/>
      <c r="E26" s="77"/>
      <c r="F26" s="77"/>
      <c r="G26" s="76"/>
      <c r="H26" s="74"/>
      <c r="I26" s="75"/>
      <c r="J26" s="75"/>
    </row>
    <row r="27" spans="1:10" ht="18" customHeight="1" x14ac:dyDescent="0.25">
      <c r="A27" s="71"/>
      <c r="B27" s="72"/>
      <c r="C27" s="73"/>
      <c r="D27" s="77"/>
      <c r="E27" s="77"/>
      <c r="F27" s="77"/>
      <c r="G27" s="76"/>
      <c r="H27" s="74"/>
      <c r="I27" s="75"/>
      <c r="J27" s="75"/>
    </row>
    <row r="28" spans="1:10" ht="18" customHeight="1" x14ac:dyDescent="0.25">
      <c r="A28" s="71"/>
      <c r="B28" s="72"/>
      <c r="C28" s="73"/>
      <c r="D28" s="77"/>
      <c r="E28" s="77"/>
      <c r="F28" s="77"/>
      <c r="G28" s="76"/>
      <c r="H28" s="74"/>
      <c r="I28" s="75"/>
      <c r="J28" s="75"/>
    </row>
    <row r="29" spans="1:10" ht="18" customHeight="1" x14ac:dyDescent="0.25">
      <c r="A29" s="71"/>
      <c r="B29" s="72"/>
      <c r="C29" s="73"/>
      <c r="D29" s="77"/>
      <c r="E29" s="77"/>
      <c r="F29" s="77"/>
      <c r="G29" s="76"/>
      <c r="H29" s="74"/>
      <c r="I29" s="75"/>
      <c r="J29" s="75"/>
    </row>
    <row r="30" spans="1:10" ht="18" customHeight="1" x14ac:dyDescent="0.25">
      <c r="A30" s="71"/>
      <c r="B30" s="72"/>
      <c r="C30" s="73"/>
      <c r="D30" s="77"/>
      <c r="E30" s="77"/>
      <c r="F30" s="77"/>
      <c r="G30" s="76"/>
      <c r="H30" s="74"/>
      <c r="I30" s="75"/>
      <c r="J30" s="75"/>
    </row>
    <row r="31" spans="1:10" ht="18" customHeight="1" x14ac:dyDescent="0.25">
      <c r="A31" s="71"/>
      <c r="B31" s="72"/>
      <c r="C31" s="73"/>
      <c r="D31" s="77"/>
      <c r="E31" s="77"/>
      <c r="F31" s="77"/>
      <c r="G31" s="76"/>
      <c r="H31" s="74"/>
      <c r="I31" s="75"/>
      <c r="J31" s="75"/>
    </row>
    <row r="32" spans="1:10" ht="18" customHeight="1" x14ac:dyDescent="0.25">
      <c r="A32" s="71"/>
      <c r="B32" s="72"/>
      <c r="C32" s="73"/>
      <c r="D32" s="77"/>
      <c r="E32" s="77"/>
      <c r="F32" s="77"/>
      <c r="G32" s="76"/>
      <c r="H32" s="74"/>
      <c r="I32" s="75"/>
      <c r="J32" s="75"/>
    </row>
    <row r="33" spans="1:10" ht="18" customHeight="1" x14ac:dyDescent="0.25">
      <c r="A33" s="71"/>
      <c r="B33" s="72"/>
      <c r="C33" s="73"/>
      <c r="D33" s="77"/>
      <c r="E33" s="77"/>
      <c r="F33" s="77"/>
      <c r="G33" s="76"/>
      <c r="H33" s="74"/>
      <c r="I33" s="75"/>
      <c r="J33" s="75"/>
    </row>
    <row r="34" spans="1:10" ht="18" customHeight="1" x14ac:dyDescent="0.25">
      <c r="A34" s="71"/>
      <c r="B34" s="72"/>
      <c r="C34" s="73"/>
      <c r="D34" s="77"/>
      <c r="E34" s="77"/>
      <c r="F34" s="77"/>
      <c r="G34" s="76"/>
      <c r="H34" s="74"/>
      <c r="I34" s="75"/>
      <c r="J34" s="75"/>
    </row>
    <row r="35" spans="1:10" ht="18" customHeight="1" x14ac:dyDescent="0.25">
      <c r="A35" s="71"/>
      <c r="B35" s="72"/>
      <c r="C35" s="73"/>
      <c r="D35" s="77"/>
      <c r="E35" s="77"/>
      <c r="F35" s="77"/>
      <c r="G35" s="76"/>
      <c r="H35" s="74"/>
      <c r="I35" s="75"/>
      <c r="J35" s="75"/>
    </row>
    <row r="36" spans="1:10" ht="18" customHeight="1" x14ac:dyDescent="0.25">
      <c r="A36" s="71"/>
      <c r="B36" s="72"/>
      <c r="C36" s="73"/>
      <c r="D36" s="77"/>
      <c r="E36" s="77"/>
      <c r="F36" s="77"/>
      <c r="G36" s="76"/>
      <c r="H36" s="74"/>
      <c r="I36" s="75"/>
      <c r="J36" s="75"/>
    </row>
    <row r="37" spans="1:10" ht="18" customHeight="1" x14ac:dyDescent="0.25">
      <c r="A37" s="71"/>
      <c r="B37" s="72"/>
      <c r="C37" s="73"/>
      <c r="D37" s="77"/>
      <c r="E37" s="77"/>
      <c r="F37" s="77"/>
      <c r="G37" s="76"/>
      <c r="H37" s="74"/>
      <c r="I37" s="75"/>
      <c r="J37" s="75"/>
    </row>
    <row r="38" spans="1:10" ht="18" customHeight="1" x14ac:dyDescent="0.25">
      <c r="A38" s="71"/>
      <c r="B38" s="72"/>
      <c r="C38" s="73"/>
      <c r="D38" s="77"/>
      <c r="E38" s="77"/>
      <c r="F38" s="77"/>
      <c r="G38" s="76"/>
      <c r="H38" s="74"/>
      <c r="I38" s="75"/>
      <c r="J38" s="75"/>
    </row>
    <row r="39" spans="1:10" ht="18" customHeight="1" x14ac:dyDescent="0.25">
      <c r="A39" s="71"/>
      <c r="B39" s="72"/>
      <c r="C39" s="73"/>
      <c r="D39" s="77"/>
      <c r="E39" s="77"/>
      <c r="F39" s="77"/>
      <c r="G39" s="76"/>
      <c r="H39" s="74"/>
      <c r="I39" s="75"/>
      <c r="J39" s="75"/>
    </row>
    <row r="40" spans="1:10" ht="18" customHeight="1" x14ac:dyDescent="0.25">
      <c r="A40" s="71"/>
      <c r="B40" s="72"/>
      <c r="C40" s="73"/>
      <c r="D40" s="77"/>
      <c r="E40" s="77"/>
      <c r="F40" s="77"/>
      <c r="G40" s="76"/>
      <c r="H40" s="74"/>
      <c r="I40" s="75"/>
      <c r="J40" s="75"/>
    </row>
    <row r="41" spans="1:10" ht="18" customHeight="1" x14ac:dyDescent="0.25">
      <c r="A41" s="71"/>
      <c r="B41" s="72"/>
      <c r="C41" s="73"/>
      <c r="D41" s="77"/>
      <c r="E41" s="77"/>
      <c r="F41" s="77"/>
      <c r="G41" s="76"/>
      <c r="H41" s="74"/>
      <c r="I41" s="75"/>
      <c r="J41" s="75"/>
    </row>
    <row r="42" spans="1:10" ht="18" customHeight="1" x14ac:dyDescent="0.25">
      <c r="A42" s="71"/>
      <c r="B42" s="72"/>
      <c r="C42" s="73"/>
      <c r="D42" s="77"/>
      <c r="E42" s="77"/>
      <c r="F42" s="77"/>
      <c r="G42" s="76"/>
      <c r="H42" s="74"/>
      <c r="I42" s="75"/>
      <c r="J42" s="75"/>
    </row>
    <row r="43" spans="1:10" ht="18" customHeight="1" x14ac:dyDescent="0.25">
      <c r="A43" s="71"/>
      <c r="B43" s="72"/>
      <c r="C43" s="73"/>
      <c r="D43" s="77"/>
      <c r="E43" s="77"/>
      <c r="F43" s="77"/>
      <c r="G43" s="76"/>
      <c r="H43" s="74"/>
      <c r="I43" s="75"/>
      <c r="J43" s="75"/>
    </row>
    <row r="44" spans="1:10" ht="18" customHeight="1" x14ac:dyDescent="0.25">
      <c r="A44" s="71"/>
      <c r="B44" s="72"/>
      <c r="C44" s="73"/>
      <c r="D44" s="77"/>
      <c r="E44" s="77"/>
      <c r="F44" s="77"/>
      <c r="G44" s="76"/>
      <c r="H44" s="74"/>
      <c r="I44" s="75"/>
      <c r="J44" s="75"/>
    </row>
    <row r="45" spans="1:10" ht="18" customHeight="1" x14ac:dyDescent="0.25">
      <c r="A45" s="71"/>
      <c r="B45" s="72"/>
      <c r="C45" s="73"/>
      <c r="D45" s="77"/>
      <c r="E45" s="77"/>
      <c r="F45" s="77"/>
      <c r="G45" s="76"/>
      <c r="H45" s="74"/>
      <c r="I45" s="75"/>
      <c r="J45" s="75"/>
    </row>
    <row r="46" spans="1:10" ht="18" customHeight="1" x14ac:dyDescent="0.25">
      <c r="A46" s="71"/>
      <c r="B46" s="72"/>
      <c r="C46" s="73"/>
      <c r="D46" s="77"/>
      <c r="E46" s="77"/>
      <c r="F46" s="77"/>
      <c r="G46" s="76"/>
      <c r="H46" s="74"/>
      <c r="I46" s="75"/>
      <c r="J46" s="75"/>
    </row>
    <row r="47" spans="1:10" ht="18" customHeight="1" x14ac:dyDescent="0.25">
      <c r="A47" s="71"/>
      <c r="B47" s="72"/>
      <c r="C47" s="73"/>
      <c r="D47" s="77"/>
      <c r="E47" s="77"/>
      <c r="F47" s="77"/>
      <c r="G47" s="76"/>
      <c r="H47" s="74"/>
      <c r="I47" s="75"/>
      <c r="J47" s="75"/>
    </row>
    <row r="48" spans="1:10" ht="18" customHeight="1" x14ac:dyDescent="0.25">
      <c r="A48" s="71"/>
      <c r="B48" s="72"/>
      <c r="C48" s="73"/>
      <c r="D48" s="77"/>
      <c r="E48" s="77"/>
      <c r="F48" s="77"/>
      <c r="G48" s="76"/>
      <c r="H48" s="74"/>
      <c r="I48" s="75"/>
      <c r="J48" s="75"/>
    </row>
    <row r="49" spans="1:10" ht="18" customHeight="1" x14ac:dyDescent="0.25">
      <c r="A49" s="71"/>
      <c r="B49" s="72"/>
      <c r="C49" s="73"/>
      <c r="D49" s="77"/>
      <c r="E49" s="77"/>
      <c r="F49" s="77"/>
      <c r="G49" s="76"/>
      <c r="H49" s="74"/>
      <c r="I49" s="75"/>
      <c r="J49" s="75"/>
    </row>
    <row r="50" spans="1:10" ht="18" customHeight="1" x14ac:dyDescent="0.25">
      <c r="A50" s="71"/>
      <c r="B50" s="72"/>
      <c r="C50" s="73"/>
      <c r="D50" s="77"/>
      <c r="E50" s="77"/>
      <c r="F50" s="77"/>
      <c r="G50" s="76"/>
      <c r="H50" s="74"/>
      <c r="I50" s="75"/>
      <c r="J50" s="75"/>
    </row>
    <row r="51" spans="1:10" ht="18" customHeight="1" x14ac:dyDescent="0.25">
      <c r="A51" s="71"/>
      <c r="B51" s="72"/>
      <c r="C51" s="73"/>
      <c r="D51" s="77"/>
      <c r="E51" s="77"/>
      <c r="F51" s="77"/>
      <c r="G51" s="76"/>
      <c r="H51" s="74"/>
      <c r="I51" s="75"/>
      <c r="J51" s="75"/>
    </row>
    <row r="52" spans="1:10" ht="18" customHeight="1" x14ac:dyDescent="0.25">
      <c r="A52" s="71"/>
      <c r="B52" s="72"/>
      <c r="C52" s="73"/>
      <c r="D52" s="77"/>
      <c r="E52" s="77"/>
      <c r="F52" s="77"/>
      <c r="G52" s="76"/>
      <c r="H52" s="74"/>
      <c r="I52" s="75"/>
      <c r="J52" s="75"/>
    </row>
    <row r="53" spans="1:10" ht="18" customHeight="1" x14ac:dyDescent="0.25">
      <c r="A53" s="71"/>
      <c r="B53" s="72"/>
      <c r="C53" s="73"/>
      <c r="D53" s="77"/>
      <c r="E53" s="77"/>
      <c r="F53" s="77"/>
      <c r="G53" s="76"/>
      <c r="H53" s="74"/>
      <c r="I53" s="75"/>
      <c r="J53" s="75"/>
    </row>
    <row r="54" spans="1:10" ht="18" customHeight="1" x14ac:dyDescent="0.25">
      <c r="A54" s="71"/>
      <c r="B54" s="72"/>
      <c r="C54" s="73"/>
      <c r="D54" s="77"/>
      <c r="E54" s="77"/>
      <c r="F54" s="77"/>
      <c r="G54" s="76"/>
      <c r="H54" s="74"/>
      <c r="I54" s="75"/>
      <c r="J54" s="75"/>
    </row>
    <row r="55" spans="1:10" ht="18" customHeight="1" x14ac:dyDescent="0.25">
      <c r="A55" s="71"/>
      <c r="B55" s="72"/>
      <c r="C55" s="73"/>
      <c r="D55" s="77"/>
      <c r="E55" s="77"/>
      <c r="F55" s="77"/>
      <c r="G55" s="76"/>
      <c r="H55" s="74"/>
      <c r="I55" s="75"/>
      <c r="J55" s="75"/>
    </row>
    <row r="56" spans="1:10" ht="18" customHeight="1" x14ac:dyDescent="0.25">
      <c r="A56" s="71"/>
      <c r="B56" s="72"/>
      <c r="C56" s="73"/>
      <c r="D56" s="77"/>
      <c r="E56" s="77"/>
      <c r="F56" s="77"/>
      <c r="G56" s="76"/>
      <c r="H56" s="74"/>
      <c r="I56" s="75"/>
      <c r="J56" s="75"/>
    </row>
    <row r="57" spans="1:10" ht="18" customHeight="1" x14ac:dyDescent="0.25">
      <c r="A57" s="71"/>
      <c r="B57" s="72"/>
      <c r="C57" s="73"/>
      <c r="D57" s="77"/>
      <c r="E57" s="77"/>
      <c r="F57" s="77"/>
      <c r="G57" s="76"/>
      <c r="H57" s="74"/>
      <c r="I57" s="75"/>
      <c r="J57" s="75"/>
    </row>
    <row r="58" spans="1:10" ht="18" customHeight="1" x14ac:dyDescent="0.25">
      <c r="A58" s="71"/>
      <c r="B58" s="72"/>
      <c r="C58" s="73"/>
      <c r="D58" s="77"/>
      <c r="E58" s="77"/>
      <c r="F58" s="77"/>
      <c r="G58" s="76"/>
      <c r="H58" s="74"/>
      <c r="I58" s="75"/>
      <c r="J58" s="75"/>
    </row>
    <row r="59" spans="1:10" ht="18" customHeight="1" x14ac:dyDescent="0.25">
      <c r="A59" s="71"/>
      <c r="B59" s="72"/>
      <c r="C59" s="73"/>
      <c r="D59" s="77"/>
      <c r="E59" s="77"/>
      <c r="F59" s="77"/>
      <c r="G59" s="76"/>
      <c r="H59" s="74"/>
      <c r="I59" s="75"/>
      <c r="J59" s="75"/>
    </row>
    <row r="60" spans="1:10" ht="18" customHeight="1" x14ac:dyDescent="0.25">
      <c r="A60" s="71"/>
      <c r="B60" s="72"/>
      <c r="C60" s="73"/>
      <c r="D60" s="77"/>
      <c r="E60" s="77"/>
      <c r="F60" s="77"/>
      <c r="G60" s="76"/>
      <c r="H60" s="74"/>
      <c r="I60" s="75"/>
      <c r="J60" s="75"/>
    </row>
    <row r="61" spans="1:10" ht="18" customHeight="1" x14ac:dyDescent="0.25">
      <c r="A61" s="71"/>
      <c r="B61" s="72"/>
      <c r="C61" s="73"/>
      <c r="D61" s="77"/>
      <c r="E61" s="77"/>
      <c r="F61" s="77"/>
      <c r="G61" s="76"/>
      <c r="H61" s="74"/>
      <c r="I61" s="75"/>
      <c r="J61" s="75"/>
    </row>
    <row r="62" spans="1:10" ht="18" customHeight="1" x14ac:dyDescent="0.25">
      <c r="A62" s="71"/>
      <c r="B62" s="72"/>
      <c r="C62" s="73"/>
      <c r="D62" s="77"/>
      <c r="E62" s="77"/>
      <c r="F62" s="77"/>
      <c r="G62" s="76"/>
      <c r="H62" s="74"/>
      <c r="I62" s="75"/>
      <c r="J62" s="75"/>
    </row>
    <row r="63" spans="1:10" ht="18" customHeight="1" x14ac:dyDescent="0.25">
      <c r="A63" s="71"/>
      <c r="B63" s="72"/>
      <c r="C63" s="73"/>
      <c r="D63" s="77"/>
      <c r="E63" s="77"/>
      <c r="F63" s="77"/>
      <c r="G63" s="76"/>
      <c r="H63" s="74"/>
      <c r="I63" s="75"/>
      <c r="J63" s="75"/>
    </row>
    <row r="64" spans="1:10" ht="18" customHeight="1" x14ac:dyDescent="0.25">
      <c r="A64" s="71"/>
      <c r="B64" s="72"/>
      <c r="C64" s="73"/>
      <c r="D64" s="77"/>
      <c r="E64" s="77"/>
      <c r="F64" s="77"/>
      <c r="G64" s="76"/>
      <c r="H64" s="74"/>
      <c r="I64" s="75"/>
      <c r="J64" s="75"/>
    </row>
    <row r="65" spans="1:10" ht="18" customHeight="1" x14ac:dyDescent="0.25">
      <c r="A65" s="71"/>
      <c r="B65" s="72"/>
      <c r="C65" s="73"/>
      <c r="D65" s="77"/>
      <c r="E65" s="77"/>
      <c r="F65" s="77"/>
      <c r="G65" s="76"/>
      <c r="H65" s="74"/>
      <c r="I65" s="75"/>
      <c r="J65" s="75"/>
    </row>
    <row r="66" spans="1:10" ht="18" customHeight="1" x14ac:dyDescent="0.25">
      <c r="A66" s="71"/>
      <c r="B66" s="72"/>
      <c r="C66" s="73"/>
      <c r="D66" s="77"/>
      <c r="E66" s="77"/>
      <c r="F66" s="77"/>
      <c r="G66" s="76"/>
      <c r="H66" s="74"/>
      <c r="I66" s="75"/>
      <c r="J66" s="75"/>
    </row>
    <row r="67" spans="1:10" ht="18" customHeight="1" x14ac:dyDescent="0.25">
      <c r="A67" s="71"/>
      <c r="B67" s="72"/>
      <c r="C67" s="73"/>
      <c r="D67" s="77"/>
      <c r="E67" s="77"/>
      <c r="F67" s="77"/>
      <c r="G67" s="76"/>
      <c r="H67" s="74"/>
      <c r="I67" s="75"/>
      <c r="J67" s="75"/>
    </row>
    <row r="68" spans="1:10" ht="18" customHeight="1" x14ac:dyDescent="0.25">
      <c r="A68" s="71"/>
      <c r="B68" s="72"/>
      <c r="C68" s="73"/>
      <c r="D68" s="77"/>
      <c r="E68" s="77"/>
      <c r="F68" s="77"/>
      <c r="G68" s="76"/>
      <c r="H68" s="74"/>
      <c r="I68" s="75"/>
      <c r="J68" s="75"/>
    </row>
    <row r="69" spans="1:10" ht="18" customHeight="1" x14ac:dyDescent="0.25">
      <c r="A69" s="71"/>
      <c r="B69" s="72"/>
      <c r="C69" s="73"/>
      <c r="D69" s="77"/>
      <c r="E69" s="77"/>
      <c r="F69" s="77"/>
      <c r="G69" s="76"/>
      <c r="H69" s="74"/>
      <c r="I69" s="75"/>
      <c r="J69" s="75"/>
    </row>
    <row r="70" spans="1:10" ht="18" customHeight="1" x14ac:dyDescent="0.25">
      <c r="A70" s="71"/>
      <c r="B70" s="72"/>
      <c r="C70" s="73"/>
      <c r="D70" s="77"/>
      <c r="E70" s="77"/>
      <c r="F70" s="77"/>
      <c r="G70" s="76"/>
      <c r="H70" s="74"/>
      <c r="I70" s="75"/>
      <c r="J70" s="75"/>
    </row>
    <row r="71" spans="1:10" ht="18" customHeight="1" x14ac:dyDescent="0.25">
      <c r="A71" s="71"/>
      <c r="B71" s="72"/>
      <c r="C71" s="73"/>
      <c r="D71" s="77"/>
      <c r="E71" s="77"/>
      <c r="F71" s="77"/>
      <c r="G71" s="76"/>
      <c r="H71" s="74"/>
      <c r="I71" s="75"/>
      <c r="J71" s="75"/>
    </row>
    <row r="72" spans="1:10" ht="18" customHeight="1" x14ac:dyDescent="0.25">
      <c r="A72" s="71"/>
      <c r="B72" s="72"/>
      <c r="C72" s="73"/>
      <c r="D72" s="77"/>
      <c r="E72" s="77"/>
      <c r="F72" s="77"/>
      <c r="G72" s="76"/>
      <c r="H72" s="74"/>
      <c r="I72" s="75"/>
      <c r="J72" s="75"/>
    </row>
    <row r="73" spans="1:10" ht="18" customHeight="1" x14ac:dyDescent="0.25">
      <c r="A73" s="71"/>
      <c r="B73" s="72"/>
      <c r="C73" s="73"/>
      <c r="D73" s="77"/>
      <c r="E73" s="77"/>
      <c r="F73" s="77"/>
      <c r="G73" s="76"/>
      <c r="H73" s="74"/>
      <c r="I73" s="75"/>
      <c r="J73" s="75"/>
    </row>
    <row r="74" spans="1:10" ht="18" customHeight="1" x14ac:dyDescent="0.25">
      <c r="A74" s="71"/>
      <c r="B74" s="72"/>
      <c r="C74" s="73"/>
      <c r="D74" s="77"/>
      <c r="E74" s="77"/>
      <c r="F74" s="77"/>
      <c r="G74" s="76"/>
      <c r="H74" s="74"/>
      <c r="I74" s="75"/>
      <c r="J74" s="75"/>
    </row>
    <row r="75" spans="1:10" ht="18" customHeight="1" x14ac:dyDescent="0.25">
      <c r="A75" s="71"/>
      <c r="B75" s="72"/>
      <c r="C75" s="73"/>
      <c r="D75" s="77"/>
      <c r="E75" s="77"/>
      <c r="F75" s="77"/>
      <c r="G75" s="76"/>
      <c r="H75" s="74"/>
      <c r="I75" s="75"/>
      <c r="J75" s="75"/>
    </row>
    <row r="76" spans="1:10" ht="18" customHeight="1" x14ac:dyDescent="0.25">
      <c r="A76" s="71"/>
      <c r="B76" s="72"/>
      <c r="C76" s="73"/>
      <c r="D76" s="77"/>
      <c r="E76" s="77"/>
      <c r="F76" s="77"/>
      <c r="G76" s="76"/>
      <c r="H76" s="74"/>
      <c r="I76" s="75"/>
      <c r="J76" s="75"/>
    </row>
    <row r="77" spans="1:10" ht="18" customHeight="1" x14ac:dyDescent="0.25">
      <c r="A77" s="71"/>
      <c r="B77" s="72"/>
      <c r="C77" s="73"/>
      <c r="D77" s="77"/>
      <c r="E77" s="77"/>
      <c r="F77" s="77"/>
      <c r="G77" s="76"/>
      <c r="H77" s="74"/>
      <c r="I77" s="75"/>
      <c r="J77" s="75"/>
    </row>
    <row r="78" spans="1:10" ht="18" customHeight="1" x14ac:dyDescent="0.25">
      <c r="A78" s="71"/>
      <c r="B78" s="72"/>
      <c r="C78" s="73"/>
      <c r="D78" s="77"/>
      <c r="E78" s="77"/>
      <c r="F78" s="77"/>
      <c r="G78" s="76"/>
      <c r="H78" s="74"/>
      <c r="I78" s="75"/>
      <c r="J78" s="75"/>
    </row>
    <row r="79" spans="1:10" ht="18" customHeight="1" x14ac:dyDescent="0.25">
      <c r="A79" s="71"/>
      <c r="B79" s="72"/>
      <c r="C79" s="73"/>
      <c r="D79" s="77"/>
      <c r="E79" s="77"/>
      <c r="F79" s="77"/>
      <c r="G79" s="76"/>
      <c r="H79" s="74"/>
      <c r="I79" s="75"/>
      <c r="J79" s="75"/>
    </row>
    <row r="80" spans="1:10" ht="18" customHeight="1" x14ac:dyDescent="0.25">
      <c r="A80" s="71"/>
      <c r="B80" s="72"/>
      <c r="C80" s="73"/>
      <c r="D80" s="77"/>
      <c r="E80" s="77"/>
      <c r="F80" s="77"/>
      <c r="G80" s="76"/>
      <c r="H80" s="74"/>
      <c r="I80" s="75"/>
      <c r="J80" s="75"/>
    </row>
    <row r="81" spans="1:10" ht="18" customHeight="1" x14ac:dyDescent="0.25">
      <c r="A81" s="71"/>
      <c r="B81" s="72"/>
      <c r="C81" s="73"/>
      <c r="D81" s="77"/>
      <c r="E81" s="77"/>
      <c r="F81" s="77"/>
      <c r="G81" s="76"/>
      <c r="H81" s="74"/>
      <c r="I81" s="75"/>
      <c r="J81" s="75"/>
    </row>
    <row r="82" spans="1:10" ht="18" customHeight="1" x14ac:dyDescent="0.25">
      <c r="A82" s="71"/>
      <c r="B82" s="72"/>
      <c r="C82" s="73"/>
      <c r="D82" s="77"/>
      <c r="E82" s="77"/>
      <c r="F82" s="77"/>
      <c r="G82" s="76"/>
      <c r="H82" s="74"/>
      <c r="I82" s="75"/>
      <c r="J82" s="75"/>
    </row>
    <row r="83" spans="1:10" ht="18" customHeight="1" x14ac:dyDescent="0.25">
      <c r="A83" s="71"/>
      <c r="B83" s="72"/>
      <c r="C83" s="73"/>
      <c r="D83" s="77"/>
      <c r="E83" s="77"/>
      <c r="F83" s="77"/>
      <c r="G83" s="76"/>
      <c r="H83" s="74"/>
      <c r="I83" s="75"/>
      <c r="J83" s="75"/>
    </row>
    <row r="84" spans="1:10" ht="18" customHeight="1" x14ac:dyDescent="0.25">
      <c r="A84" s="71"/>
      <c r="B84" s="72"/>
      <c r="C84" s="73"/>
      <c r="D84" s="77"/>
      <c r="E84" s="77"/>
      <c r="F84" s="77"/>
      <c r="G84" s="76"/>
      <c r="H84" s="74"/>
      <c r="I84" s="75"/>
      <c r="J84" s="75"/>
    </row>
    <row r="85" spans="1:10" ht="18" customHeight="1" x14ac:dyDescent="0.25">
      <c r="A85" s="71"/>
      <c r="B85" s="72"/>
      <c r="C85" s="73"/>
      <c r="D85" s="77"/>
      <c r="E85" s="77"/>
      <c r="F85" s="77"/>
      <c r="G85" s="76"/>
      <c r="H85" s="74"/>
      <c r="I85" s="75"/>
      <c r="J85" s="75"/>
    </row>
    <row r="86" spans="1:10" ht="18" customHeight="1" x14ac:dyDescent="0.25">
      <c r="A86" s="71"/>
      <c r="B86" s="72"/>
      <c r="C86" s="73"/>
      <c r="D86" s="77"/>
      <c r="E86" s="77"/>
      <c r="F86" s="77"/>
      <c r="G86" s="76"/>
      <c r="H86" s="74"/>
      <c r="I86" s="75"/>
      <c r="J86" s="75"/>
    </row>
    <row r="87" spans="1:10" ht="18" customHeight="1" x14ac:dyDescent="0.25">
      <c r="A87" s="71"/>
      <c r="B87" s="72"/>
      <c r="C87" s="73"/>
      <c r="D87" s="77"/>
      <c r="E87" s="77"/>
      <c r="F87" s="77"/>
      <c r="G87" s="76"/>
      <c r="H87" s="74"/>
      <c r="I87" s="75"/>
      <c r="J87" s="75"/>
    </row>
    <row r="88" spans="1:10" ht="18" customHeight="1" x14ac:dyDescent="0.25">
      <c r="A88" s="71"/>
      <c r="B88" s="72"/>
      <c r="C88" s="73"/>
      <c r="D88" s="77"/>
      <c r="E88" s="77"/>
      <c r="F88" s="77"/>
      <c r="G88" s="76"/>
      <c r="H88" s="74"/>
      <c r="I88" s="75"/>
      <c r="J88" s="75"/>
    </row>
    <row r="89" spans="1:10" ht="18" customHeight="1" x14ac:dyDescent="0.25">
      <c r="A89" s="71"/>
      <c r="B89" s="72"/>
      <c r="C89" s="73"/>
      <c r="D89" s="77"/>
      <c r="E89" s="77"/>
      <c r="F89" s="77"/>
      <c r="G89" s="76"/>
      <c r="H89" s="74"/>
      <c r="I89" s="75"/>
      <c r="J89" s="75"/>
    </row>
    <row r="90" spans="1:10" ht="18" customHeight="1" x14ac:dyDescent="0.25">
      <c r="A90" s="71"/>
      <c r="B90" s="72"/>
      <c r="C90" s="73"/>
      <c r="D90" s="77"/>
      <c r="E90" s="77"/>
      <c r="F90" s="77"/>
      <c r="G90" s="76"/>
      <c r="H90" s="74"/>
      <c r="I90" s="75"/>
      <c r="J90" s="75"/>
    </row>
    <row r="91" spans="1:10" ht="18" customHeight="1" x14ac:dyDescent="0.25">
      <c r="A91" s="71"/>
      <c r="B91" s="72"/>
      <c r="C91" s="73"/>
      <c r="D91" s="77"/>
      <c r="E91" s="77"/>
      <c r="F91" s="77"/>
      <c r="G91" s="76"/>
      <c r="H91" s="74"/>
      <c r="I91" s="75"/>
      <c r="J91" s="75"/>
    </row>
    <row r="92" spans="1:10" ht="18" customHeight="1" x14ac:dyDescent="0.25">
      <c r="A92" s="71"/>
      <c r="B92" s="72"/>
      <c r="C92" s="73"/>
      <c r="D92" s="77"/>
      <c r="E92" s="77"/>
      <c r="F92" s="77"/>
      <c r="G92" s="76"/>
      <c r="H92" s="74"/>
      <c r="I92" s="75"/>
      <c r="J92" s="75"/>
    </row>
    <row r="93" spans="1:10" ht="18" customHeight="1" x14ac:dyDescent="0.25">
      <c r="A93" s="71"/>
      <c r="B93" s="72"/>
      <c r="C93" s="73"/>
      <c r="D93" s="77"/>
      <c r="E93" s="77"/>
      <c r="F93" s="77"/>
      <c r="G93" s="76"/>
      <c r="H93" s="74"/>
      <c r="I93" s="75"/>
      <c r="J93" s="75"/>
    </row>
    <row r="94" spans="1:10" ht="18" customHeight="1" x14ac:dyDescent="0.25">
      <c r="A94" s="71"/>
      <c r="B94" s="72"/>
      <c r="C94" s="73"/>
      <c r="D94" s="77"/>
      <c r="E94" s="77"/>
      <c r="F94" s="77"/>
      <c r="G94" s="76"/>
      <c r="H94" s="74"/>
      <c r="I94" s="75"/>
      <c r="J94" s="75"/>
    </row>
    <row r="95" spans="1:10" ht="18" customHeight="1" x14ac:dyDescent="0.25">
      <c r="A95" s="71"/>
      <c r="B95" s="72"/>
      <c r="C95" s="73"/>
      <c r="D95" s="77"/>
      <c r="E95" s="77"/>
      <c r="F95" s="77"/>
      <c r="G95" s="76"/>
      <c r="H95" s="74"/>
      <c r="I95" s="75"/>
      <c r="J95" s="75"/>
    </row>
    <row r="96" spans="1:10" ht="18" customHeight="1" x14ac:dyDescent="0.25">
      <c r="A96" s="71"/>
      <c r="B96" s="72"/>
      <c r="C96" s="73"/>
      <c r="D96" s="77"/>
      <c r="E96" s="77"/>
      <c r="F96" s="77"/>
      <c r="G96" s="76"/>
      <c r="H96" s="74"/>
      <c r="I96" s="75"/>
      <c r="J96" s="75"/>
    </row>
    <row r="97" spans="1:10" ht="18" customHeight="1" x14ac:dyDescent="0.25">
      <c r="A97" s="71"/>
      <c r="B97" s="72"/>
      <c r="C97" s="73"/>
      <c r="D97" s="77"/>
      <c r="E97" s="77"/>
      <c r="F97" s="77"/>
      <c r="G97" s="76"/>
      <c r="H97" s="74"/>
      <c r="I97" s="75"/>
      <c r="J97" s="75"/>
    </row>
    <row r="98" spans="1:10" ht="18" customHeight="1" x14ac:dyDescent="0.25">
      <c r="A98" s="71"/>
      <c r="B98" s="72"/>
      <c r="C98" s="73"/>
      <c r="D98" s="77"/>
      <c r="E98" s="77"/>
      <c r="F98" s="77"/>
      <c r="G98" s="76"/>
      <c r="H98" s="74"/>
      <c r="I98" s="75"/>
      <c r="J98" s="75"/>
    </row>
    <row r="99" spans="1:10" ht="18" customHeight="1" x14ac:dyDescent="0.25">
      <c r="A99" s="71"/>
      <c r="B99" s="72"/>
      <c r="C99" s="73"/>
      <c r="D99" s="77"/>
      <c r="E99" s="77"/>
      <c r="F99" s="77"/>
      <c r="G99" s="76"/>
      <c r="H99" s="74"/>
      <c r="I99" s="75"/>
      <c r="J99" s="75"/>
    </row>
    <row r="100" spans="1:10" ht="18" customHeight="1" x14ac:dyDescent="0.25">
      <c r="A100" s="71"/>
      <c r="B100" s="72"/>
      <c r="C100" s="73"/>
      <c r="D100" s="77"/>
      <c r="E100" s="77"/>
      <c r="F100" s="77"/>
      <c r="G100" s="76"/>
      <c r="H100" s="74"/>
      <c r="I100" s="75"/>
      <c r="J100" s="75"/>
    </row>
    <row r="101" spans="1:10" ht="18" customHeight="1" x14ac:dyDescent="0.25">
      <c r="A101" s="71"/>
      <c r="B101" s="72"/>
      <c r="C101" s="73"/>
      <c r="D101" s="77"/>
      <c r="E101" s="77"/>
      <c r="F101" s="77"/>
      <c r="G101" s="76"/>
      <c r="H101" s="74"/>
      <c r="I101" s="75"/>
      <c r="J101" s="75"/>
    </row>
    <row r="102" spans="1:10" ht="18" customHeight="1" x14ac:dyDescent="0.25">
      <c r="A102" s="71"/>
      <c r="B102" s="72"/>
      <c r="C102" s="73"/>
      <c r="D102" s="77"/>
      <c r="E102" s="77"/>
      <c r="F102" s="77"/>
      <c r="G102" s="76"/>
      <c r="H102" s="74"/>
      <c r="I102" s="75"/>
      <c r="J102" s="75"/>
    </row>
    <row r="103" spans="1:10" ht="18" customHeight="1" x14ac:dyDescent="0.25">
      <c r="A103" s="71"/>
      <c r="B103" s="72"/>
      <c r="C103" s="73"/>
      <c r="D103" s="77"/>
      <c r="E103" s="77"/>
      <c r="F103" s="77"/>
      <c r="G103" s="76"/>
      <c r="H103" s="74"/>
      <c r="I103" s="75"/>
      <c r="J103" s="75"/>
    </row>
    <row r="104" spans="1:10" ht="18" customHeight="1" x14ac:dyDescent="0.25">
      <c r="A104" s="71"/>
      <c r="B104" s="72"/>
      <c r="C104" s="73"/>
      <c r="D104" s="77"/>
      <c r="E104" s="77"/>
      <c r="F104" s="77"/>
      <c r="G104" s="76"/>
      <c r="H104" s="74"/>
      <c r="I104" s="75"/>
      <c r="J104" s="75"/>
    </row>
    <row r="105" spans="1:10" ht="18" customHeight="1" x14ac:dyDescent="0.25">
      <c r="A105" s="71"/>
      <c r="B105" s="72"/>
      <c r="C105" s="73"/>
      <c r="D105" s="77"/>
      <c r="E105" s="77"/>
      <c r="F105" s="77"/>
      <c r="G105" s="76"/>
      <c r="H105" s="74"/>
      <c r="I105" s="75"/>
      <c r="J105" s="75"/>
    </row>
    <row r="106" spans="1:10" ht="18" customHeight="1" x14ac:dyDescent="0.25">
      <c r="A106" s="71"/>
      <c r="B106" s="72"/>
      <c r="C106" s="73"/>
      <c r="D106" s="77"/>
      <c r="E106" s="77"/>
      <c r="F106" s="77"/>
      <c r="G106" s="76"/>
      <c r="H106" s="74"/>
      <c r="I106" s="75"/>
      <c r="J106" s="75"/>
    </row>
    <row r="107" spans="1:10" ht="18" customHeight="1" x14ac:dyDescent="0.25">
      <c r="A107" s="71"/>
      <c r="B107" s="72"/>
      <c r="C107" s="73"/>
      <c r="D107" s="77"/>
      <c r="E107" s="77"/>
      <c r="F107" s="77"/>
      <c r="G107" s="76"/>
      <c r="H107" s="74"/>
      <c r="I107" s="75"/>
      <c r="J107" s="75"/>
    </row>
    <row r="108" spans="1:10" ht="18" customHeight="1" x14ac:dyDescent="0.25">
      <c r="A108" s="71"/>
      <c r="B108" s="72"/>
      <c r="C108" s="73"/>
      <c r="D108" s="77"/>
      <c r="E108" s="77"/>
      <c r="F108" s="77"/>
      <c r="G108" s="76"/>
      <c r="H108" s="74"/>
      <c r="I108" s="75"/>
      <c r="J108" s="75"/>
    </row>
    <row r="109" spans="1:10" ht="18" customHeight="1" x14ac:dyDescent="0.25">
      <c r="A109" s="71"/>
      <c r="B109" s="72"/>
      <c r="C109" s="73"/>
      <c r="D109" s="77"/>
      <c r="E109" s="77"/>
      <c r="F109" s="77"/>
      <c r="G109" s="76"/>
      <c r="H109" s="74"/>
      <c r="I109" s="75"/>
      <c r="J109" s="75"/>
    </row>
    <row r="110" spans="1:10" ht="18" customHeight="1" x14ac:dyDescent="0.25">
      <c r="A110" s="71"/>
      <c r="B110" s="72"/>
      <c r="C110" s="73"/>
      <c r="D110" s="77"/>
      <c r="E110" s="77"/>
      <c r="F110" s="77"/>
      <c r="G110" s="76"/>
      <c r="H110" s="74"/>
      <c r="I110" s="75"/>
      <c r="J110" s="75"/>
    </row>
    <row r="111" spans="1:10" ht="18" customHeight="1" x14ac:dyDescent="0.25">
      <c r="A111" s="71"/>
      <c r="B111" s="72"/>
      <c r="C111" s="73"/>
      <c r="D111" s="77"/>
      <c r="E111" s="77"/>
      <c r="F111" s="77"/>
      <c r="G111" s="76"/>
      <c r="H111" s="74"/>
      <c r="I111" s="75"/>
      <c r="J111" s="75"/>
    </row>
    <row r="112" spans="1:10" ht="18" customHeight="1" x14ac:dyDescent="0.25">
      <c r="A112" s="71"/>
      <c r="B112" s="72"/>
      <c r="C112" s="73"/>
      <c r="D112" s="77"/>
      <c r="E112" s="77"/>
      <c r="F112" s="77"/>
      <c r="G112" s="76"/>
      <c r="H112" s="74"/>
      <c r="I112" s="75"/>
      <c r="J112" s="75"/>
    </row>
    <row r="113" spans="1:10" ht="18" customHeight="1" x14ac:dyDescent="0.25">
      <c r="A113" s="71"/>
      <c r="B113" s="72"/>
      <c r="C113" s="73"/>
      <c r="D113" s="77"/>
      <c r="E113" s="77"/>
      <c r="F113" s="77"/>
      <c r="G113" s="76"/>
      <c r="H113" s="74"/>
      <c r="I113" s="75"/>
      <c r="J113" s="75"/>
    </row>
    <row r="114" spans="1:10" ht="18" customHeight="1" x14ac:dyDescent="0.25">
      <c r="A114" s="71"/>
      <c r="B114" s="72"/>
      <c r="C114" s="73"/>
      <c r="D114" s="77"/>
      <c r="E114" s="77"/>
      <c r="F114" s="77"/>
      <c r="G114" s="76"/>
      <c r="H114" s="74"/>
      <c r="I114" s="75"/>
      <c r="J114" s="75"/>
    </row>
    <row r="115" spans="1:10" ht="18" customHeight="1" x14ac:dyDescent="0.25">
      <c r="A115" s="71"/>
      <c r="B115" s="72"/>
      <c r="C115" s="73"/>
      <c r="D115" s="77"/>
      <c r="E115" s="77"/>
      <c r="F115" s="77"/>
      <c r="G115" s="76"/>
      <c r="H115" s="74"/>
      <c r="I115" s="75"/>
      <c r="J115" s="75"/>
    </row>
    <row r="116" spans="1:10" ht="18" customHeight="1" x14ac:dyDescent="0.25">
      <c r="A116" s="71"/>
      <c r="B116" s="72"/>
      <c r="C116" s="73"/>
      <c r="D116" s="77"/>
      <c r="E116" s="77"/>
      <c r="F116" s="77"/>
      <c r="G116" s="76"/>
      <c r="H116" s="74"/>
      <c r="I116" s="75"/>
      <c r="J116" s="75"/>
    </row>
    <row r="117" spans="1:10" ht="18" customHeight="1" x14ac:dyDescent="0.25">
      <c r="A117" s="71"/>
      <c r="B117" s="72"/>
      <c r="C117" s="73"/>
      <c r="D117" s="77"/>
      <c r="E117" s="77"/>
      <c r="F117" s="77"/>
      <c r="G117" s="76"/>
      <c r="H117" s="74"/>
      <c r="I117" s="75"/>
      <c r="J117" s="75"/>
    </row>
    <row r="118" spans="1:10" ht="18" customHeight="1" x14ac:dyDescent="0.25">
      <c r="A118" s="71"/>
      <c r="B118" s="72"/>
      <c r="C118" s="73"/>
      <c r="D118" s="77"/>
      <c r="E118" s="77"/>
      <c r="F118" s="77"/>
      <c r="G118" s="76"/>
      <c r="H118" s="74"/>
      <c r="I118" s="75"/>
      <c r="J118" s="75"/>
    </row>
    <row r="119" spans="1:10" ht="18" customHeight="1" x14ac:dyDescent="0.25">
      <c r="A119" s="71"/>
      <c r="B119" s="72"/>
      <c r="C119" s="73"/>
      <c r="D119" s="77"/>
      <c r="E119" s="77"/>
      <c r="F119" s="77"/>
      <c r="G119" s="76"/>
      <c r="H119" s="74"/>
      <c r="I119" s="75"/>
      <c r="J119" s="75"/>
    </row>
    <row r="120" spans="1:10" ht="18" customHeight="1" x14ac:dyDescent="0.25">
      <c r="A120" s="71"/>
      <c r="B120" s="72"/>
      <c r="C120" s="73"/>
      <c r="D120" s="77"/>
      <c r="E120" s="77"/>
      <c r="F120" s="77"/>
      <c r="G120" s="76"/>
      <c r="H120" s="74"/>
      <c r="I120" s="75"/>
      <c r="J120" s="75"/>
    </row>
    <row r="121" spans="1:10" ht="18" customHeight="1" x14ac:dyDescent="0.25">
      <c r="A121" s="71"/>
      <c r="B121" s="72"/>
      <c r="C121" s="73"/>
      <c r="D121" s="77"/>
      <c r="E121" s="77"/>
      <c r="F121" s="77"/>
      <c r="G121" s="76"/>
      <c r="H121" s="74"/>
      <c r="I121" s="75"/>
      <c r="J121" s="75"/>
    </row>
    <row r="122" spans="1:10" ht="18" customHeight="1" x14ac:dyDescent="0.25">
      <c r="A122" s="71"/>
      <c r="B122" s="72"/>
      <c r="C122" s="73"/>
      <c r="D122" s="77"/>
      <c r="E122" s="77"/>
      <c r="F122" s="77"/>
      <c r="G122" s="76"/>
      <c r="H122" s="74"/>
      <c r="I122" s="75"/>
      <c r="J122" s="75"/>
    </row>
  </sheetData>
  <sheetProtection sheet="1" objects="1" scenarios="1"/>
  <printOptions horizontalCentered="1"/>
  <pageMargins left="0" right="0" top="0.39370078740157483" bottom="0.39370078740157483" header="0.19685039370078741" footer="0"/>
  <pageSetup paperSize="9" orientation="portrait" blackAndWhite="1" r:id="rId1"/>
  <headerFooter>
    <oddHeader>&amp;R&amp;D   &amp;Th</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12"/>
  <dimension ref="A1:X148"/>
  <sheetViews>
    <sheetView showZeros="0" zoomScaleNormal="100" workbookViewId="0">
      <pane ySplit="5" topLeftCell="A6" activePane="bottomLeft" state="frozen"/>
      <selection pane="bottomLeft" activeCell="C2" sqref="C2"/>
    </sheetView>
  </sheetViews>
  <sheetFormatPr defaultRowHeight="15" x14ac:dyDescent="0.25"/>
  <cols>
    <col min="1" max="1" width="0.140625" style="28" customWidth="1"/>
    <col min="2" max="2" width="6.28515625" customWidth="1"/>
    <col min="3" max="3" width="49.7109375" customWidth="1"/>
    <col min="4" max="6" width="11.42578125" customWidth="1"/>
    <col min="7" max="7" width="14.7109375" customWidth="1"/>
    <col min="13" max="13" width="19.140625" customWidth="1"/>
    <col min="14" max="14" width="10.7109375" style="27" hidden="1" customWidth="1"/>
  </cols>
  <sheetData>
    <row r="1" spans="1:24" ht="28.5" customHeight="1" x14ac:dyDescent="0.25">
      <c r="B1" s="36"/>
      <c r="C1" s="81" t="s">
        <v>38</v>
      </c>
      <c r="D1" s="36"/>
      <c r="E1" s="82" t="s">
        <v>34</v>
      </c>
      <c r="F1" s="195" t="str">
        <f>IF($C$2=0,"",IF(ISERROR(VLOOKUP($C$2&amp;"-"&amp;B6,'BD Seq Op'!C:H,6,FALSE)),"",VLOOKUP($C$2&amp;"-"&amp;B6,'BD Seq Op'!C:H,6,FALSE)))</f>
        <v/>
      </c>
      <c r="G1" s="36"/>
      <c r="H1" s="36"/>
      <c r="I1" s="36"/>
      <c r="J1" s="36"/>
      <c r="K1" s="36"/>
      <c r="L1" s="36"/>
      <c r="M1" s="36"/>
      <c r="N1" s="83" t="str">
        <f>IF(C2=0,"",IF(ISERROR(VLOOKUP(C2&amp;"-"&amp;B6,'BD Seq Op'!C:H,6,FALSE)),"Não cadastrada.",""))</f>
        <v>Não cadastrada.</v>
      </c>
      <c r="O1" s="36"/>
      <c r="P1" s="36"/>
      <c r="Q1" s="36"/>
      <c r="R1" s="36"/>
      <c r="S1" s="36"/>
      <c r="T1" s="36"/>
      <c r="U1" s="36"/>
      <c r="V1" s="36"/>
      <c r="W1" s="36"/>
      <c r="X1" s="36"/>
    </row>
    <row r="2" spans="1:24" ht="18.75" customHeight="1" x14ac:dyDescent="0.25">
      <c r="A2" s="29"/>
      <c r="B2" s="84"/>
      <c r="C2" s="194">
        <v>10000</v>
      </c>
      <c r="D2" s="36"/>
      <c r="E2" s="36"/>
      <c r="F2" s="36"/>
      <c r="G2" s="36"/>
      <c r="H2" s="36"/>
      <c r="I2" s="36"/>
      <c r="J2" s="36"/>
      <c r="K2" s="36"/>
      <c r="L2" s="36"/>
      <c r="M2" s="36"/>
      <c r="O2" s="36"/>
      <c r="P2" s="36"/>
      <c r="Q2" s="36"/>
      <c r="R2" s="36"/>
      <c r="S2" s="36"/>
      <c r="T2" s="36"/>
      <c r="U2" s="36"/>
      <c r="V2" s="36"/>
      <c r="W2" s="36"/>
      <c r="X2" s="36"/>
    </row>
    <row r="3" spans="1:24" ht="18.75" customHeight="1" x14ac:dyDescent="0.25">
      <c r="A3" s="30"/>
      <c r="B3" s="85"/>
      <c r="C3" s="304" t="str">
        <f>IF(C2=0,"",IF(N1="Não cadastrada.","",VLOOKUP(C2,Ref!A:B,2,FALSE)))</f>
        <v/>
      </c>
      <c r="D3" s="304"/>
      <c r="E3" s="304"/>
      <c r="F3" s="304"/>
      <c r="G3" s="36"/>
      <c r="H3" s="36"/>
      <c r="I3" s="36"/>
      <c r="J3" s="36"/>
      <c r="K3" s="36"/>
      <c r="L3" s="36"/>
      <c r="M3" s="36"/>
      <c r="O3" s="36"/>
      <c r="P3" s="36"/>
      <c r="Q3" s="36"/>
      <c r="R3" s="36"/>
      <c r="S3" s="36"/>
      <c r="T3" s="36"/>
      <c r="U3" s="36"/>
      <c r="V3" s="36"/>
      <c r="W3" s="36"/>
      <c r="X3" s="36"/>
    </row>
    <row r="4" spans="1:24" s="27" customFormat="1" ht="0.2" customHeight="1" x14ac:dyDescent="0.25">
      <c r="A4" s="53" t="s">
        <v>21</v>
      </c>
      <c r="B4" s="86" t="s">
        <v>13</v>
      </c>
      <c r="C4" s="86" t="s">
        <v>12</v>
      </c>
      <c r="D4" s="87" t="s">
        <v>4</v>
      </c>
      <c r="E4" s="87" t="s">
        <v>15</v>
      </c>
      <c r="F4" s="87" t="s">
        <v>11</v>
      </c>
      <c r="G4" s="36"/>
      <c r="H4" s="36"/>
      <c r="I4" s="36"/>
      <c r="J4" s="36"/>
      <c r="K4" s="36"/>
      <c r="L4" s="36"/>
      <c r="M4" s="36"/>
      <c r="O4" s="36"/>
      <c r="P4" s="36"/>
      <c r="Q4" s="36"/>
      <c r="R4" s="36"/>
      <c r="S4" s="36"/>
      <c r="T4" s="36"/>
      <c r="U4" s="36"/>
      <c r="V4" s="36"/>
      <c r="W4" s="36"/>
      <c r="X4" s="36"/>
    </row>
    <row r="5" spans="1:24" ht="30.75" thickBot="1" x14ac:dyDescent="0.3">
      <c r="A5" s="31" t="s">
        <v>22</v>
      </c>
      <c r="B5" s="88" t="s">
        <v>13</v>
      </c>
      <c r="C5" s="88" t="s">
        <v>27</v>
      </c>
      <c r="D5" s="89" t="s">
        <v>4</v>
      </c>
      <c r="E5" s="89" t="s">
        <v>15</v>
      </c>
      <c r="F5" s="89" t="s">
        <v>11</v>
      </c>
      <c r="G5" s="36"/>
      <c r="H5" s="36"/>
      <c r="I5" s="36"/>
      <c r="J5" s="36"/>
      <c r="K5" s="36"/>
      <c r="L5" s="36"/>
      <c r="M5" s="36"/>
      <c r="O5" s="36"/>
      <c r="P5" s="36"/>
      <c r="Q5" s="36"/>
      <c r="R5" s="36"/>
      <c r="S5" s="36"/>
      <c r="T5" s="36"/>
      <c r="U5" s="36"/>
      <c r="V5" s="36"/>
      <c r="W5" s="36"/>
      <c r="X5" s="36"/>
    </row>
    <row r="6" spans="1:24" ht="18" customHeight="1" x14ac:dyDescent="0.25">
      <c r="A6" s="32" t="str">
        <f>IF(C6="","Não","Sim")</f>
        <v>Não</v>
      </c>
      <c r="B6" s="90">
        <v>1</v>
      </c>
      <c r="C6" s="196" t="str">
        <f>IF($C$2=0,"",IF(ISERROR(VLOOKUP($C$2&amp;"-"&amp;$B6,'BD Seq Op'!$C:$H,2,FALSE)),"",VLOOKUP($C$2&amp;"-"&amp;$B6,'BD Seq Op'!$C:$H,2,FALSE)))</f>
        <v/>
      </c>
      <c r="D6" s="197" t="str">
        <f>IF($C$2=0,"",IF(ISERROR(VLOOKUP($C$2&amp;"-"&amp;$B6,'BD Seq Op'!$C:$H,3,FALSE)),"",VLOOKUP($C$2&amp;"-"&amp;$B6,'BD Seq Op'!$C:$H,3,FALSE)))</f>
        <v/>
      </c>
      <c r="E6" s="197" t="str">
        <f>IF($C$2=0,"",IF(ISERROR(VLOOKUP($C$2&amp;"-"&amp;$B6,'BD Seq Op'!$C:$H,4,FALSE)),"",VLOOKUP($C$2&amp;"-"&amp;$B6,'BD Seq Op'!$C:$H,4,FALSE)))</f>
        <v/>
      </c>
      <c r="F6" s="198" t="str">
        <f>IF($C$2=0,"",IF(ISERROR(VLOOKUP($C$2&amp;"-"&amp;$B6,'BD Seq Op'!$C:$H,5,FALSE)),"",VLOOKUP($C$2&amp;"-"&amp;$B6,'BD Seq Op'!$C:$H,5,FALSE)))</f>
        <v/>
      </c>
      <c r="G6" s="36"/>
      <c r="H6" s="36"/>
      <c r="I6" s="36"/>
      <c r="J6" s="36"/>
      <c r="K6" s="36"/>
      <c r="L6" s="36"/>
      <c r="M6" s="36"/>
      <c r="O6" s="36"/>
      <c r="P6" s="36"/>
      <c r="Q6" s="36"/>
      <c r="R6" s="36"/>
      <c r="S6" s="36"/>
      <c r="T6" s="36"/>
      <c r="U6" s="36"/>
      <c r="V6" s="36"/>
      <c r="W6" s="36"/>
      <c r="X6" s="36"/>
    </row>
    <row r="7" spans="1:24" ht="18" customHeight="1" x14ac:dyDescent="0.25">
      <c r="A7" s="32" t="str">
        <f t="shared" ref="A7:A70" si="0">IF(C7="","Não","Sim")</f>
        <v>Não</v>
      </c>
      <c r="B7" s="91">
        <v>2</v>
      </c>
      <c r="C7" s="196" t="str">
        <f>IF($C$2=0,"",IF(ISERROR(VLOOKUP($C$2&amp;"-"&amp;$B7,'BD Seq Op'!$C:$H,2,FALSE)),"",VLOOKUP($C$2&amp;"-"&amp;$B7,'BD Seq Op'!$C:$H,2,FALSE)))</f>
        <v/>
      </c>
      <c r="D7" s="197" t="str">
        <f>IF($C$2=0,"",IF(ISERROR(VLOOKUP($C$2&amp;"-"&amp;$B7,'BD Seq Op'!$C:$H,3,FALSE)),"",VLOOKUP($C$2&amp;"-"&amp;$B7,'BD Seq Op'!$C:$H,3,FALSE)))</f>
        <v/>
      </c>
      <c r="E7" s="197" t="str">
        <f>IF($C$2=0,"",IF(ISERROR(VLOOKUP($C$2&amp;"-"&amp;$B7,'BD Seq Op'!$C:$H,4,FALSE)),"",VLOOKUP($C$2&amp;"-"&amp;$B7,'BD Seq Op'!$C:$H,4,FALSE)))</f>
        <v/>
      </c>
      <c r="F7" s="198" t="str">
        <f>IF($C$2=0,"",IF(ISERROR(VLOOKUP($C$2&amp;"-"&amp;$B7,'BD Seq Op'!$C:$H,5,FALSE)),"",VLOOKUP($C$2&amp;"-"&amp;$B7,'BD Seq Op'!$C:$H,5,FALSE)))</f>
        <v/>
      </c>
      <c r="G7" s="36"/>
      <c r="H7" s="36"/>
      <c r="I7" s="36"/>
      <c r="J7" s="36"/>
      <c r="K7" s="36"/>
      <c r="L7" s="36"/>
      <c r="M7" s="36"/>
      <c r="O7" s="36"/>
      <c r="P7" s="36"/>
      <c r="Q7" s="36"/>
      <c r="R7" s="36"/>
      <c r="S7" s="36"/>
      <c r="T7" s="36"/>
      <c r="U7" s="36"/>
      <c r="V7" s="36"/>
      <c r="W7" s="36"/>
      <c r="X7" s="36"/>
    </row>
    <row r="8" spans="1:24" ht="18" customHeight="1" x14ac:dyDescent="0.25">
      <c r="A8" s="32" t="str">
        <f t="shared" si="0"/>
        <v>Não</v>
      </c>
      <c r="B8" s="90">
        <v>3</v>
      </c>
      <c r="C8" s="196" t="str">
        <f>IF($C$2=0,"",IF(ISERROR(VLOOKUP($C$2&amp;"-"&amp;$B8,'BD Seq Op'!$C:$H,2,FALSE)),"",VLOOKUP($C$2&amp;"-"&amp;$B8,'BD Seq Op'!$C:$H,2,FALSE)))</f>
        <v/>
      </c>
      <c r="D8" s="197" t="str">
        <f>IF($C$2=0,"",IF(ISERROR(VLOOKUP($C$2&amp;"-"&amp;$B8,'BD Seq Op'!$C:$H,3,FALSE)),"",VLOOKUP($C$2&amp;"-"&amp;$B8,'BD Seq Op'!$C:$H,3,FALSE)))</f>
        <v/>
      </c>
      <c r="E8" s="197" t="str">
        <f>IF($C$2=0,"",IF(ISERROR(VLOOKUP($C$2&amp;"-"&amp;$B8,'BD Seq Op'!$C:$H,4,FALSE)),"",VLOOKUP($C$2&amp;"-"&amp;$B8,'BD Seq Op'!$C:$H,4,FALSE)))</f>
        <v/>
      </c>
      <c r="F8" s="198" t="str">
        <f>IF($C$2=0,"",IF(ISERROR(VLOOKUP($C$2&amp;"-"&amp;$B8,'BD Seq Op'!$C:$H,5,FALSE)),"",VLOOKUP($C$2&amp;"-"&amp;$B8,'BD Seq Op'!$C:$H,5,FALSE)))</f>
        <v/>
      </c>
      <c r="G8" s="36"/>
      <c r="H8" s="36"/>
      <c r="I8" s="36"/>
      <c r="J8" s="36"/>
      <c r="K8" s="36"/>
      <c r="L8" s="36"/>
      <c r="M8" s="36"/>
      <c r="O8" s="36"/>
      <c r="P8" s="36"/>
      <c r="Q8" s="36"/>
      <c r="R8" s="36"/>
      <c r="S8" s="36"/>
      <c r="T8" s="36"/>
      <c r="U8" s="36"/>
      <c r="V8" s="36"/>
      <c r="W8" s="36"/>
      <c r="X8" s="36"/>
    </row>
    <row r="9" spans="1:24" ht="18" customHeight="1" x14ac:dyDescent="0.25">
      <c r="A9" s="32" t="str">
        <f t="shared" si="0"/>
        <v>Não</v>
      </c>
      <c r="B9" s="91">
        <v>4</v>
      </c>
      <c r="C9" s="196" t="str">
        <f>IF($C$2=0,"",IF(ISERROR(VLOOKUP($C$2&amp;"-"&amp;$B9,'BD Seq Op'!$C:$H,2,FALSE)),"",VLOOKUP($C$2&amp;"-"&amp;$B9,'BD Seq Op'!$C:$H,2,FALSE)))</f>
        <v/>
      </c>
      <c r="D9" s="197" t="str">
        <f>IF($C$2=0,"",IF(ISERROR(VLOOKUP($C$2&amp;"-"&amp;$B9,'BD Seq Op'!$C:$H,3,FALSE)),"",VLOOKUP($C$2&amp;"-"&amp;$B9,'BD Seq Op'!$C:$H,3,FALSE)))</f>
        <v/>
      </c>
      <c r="E9" s="197" t="str">
        <f>IF($C$2=0,"",IF(ISERROR(VLOOKUP($C$2&amp;"-"&amp;$B9,'BD Seq Op'!$C:$H,4,FALSE)),"",VLOOKUP($C$2&amp;"-"&amp;$B9,'BD Seq Op'!$C:$H,4,FALSE)))</f>
        <v/>
      </c>
      <c r="F9" s="198" t="str">
        <f>IF($C$2=0,"",IF(ISERROR(VLOOKUP($C$2&amp;"-"&amp;$B9,'BD Seq Op'!$C:$H,5,FALSE)),"",VLOOKUP($C$2&amp;"-"&amp;$B9,'BD Seq Op'!$C:$H,5,FALSE)))</f>
        <v/>
      </c>
      <c r="G9" s="36"/>
      <c r="H9" s="36"/>
      <c r="I9" s="36"/>
      <c r="J9" s="36"/>
      <c r="K9" s="36"/>
      <c r="L9" s="36"/>
      <c r="M9" s="36"/>
      <c r="O9" s="36"/>
      <c r="P9" s="36"/>
      <c r="Q9" s="36"/>
      <c r="R9" s="36"/>
      <c r="S9" s="36"/>
      <c r="T9" s="36"/>
      <c r="U9" s="36"/>
      <c r="V9" s="36"/>
      <c r="W9" s="36"/>
      <c r="X9" s="36"/>
    </row>
    <row r="10" spans="1:24" ht="18" customHeight="1" x14ac:dyDescent="0.25">
      <c r="A10" s="32" t="str">
        <f t="shared" si="0"/>
        <v>Não</v>
      </c>
      <c r="B10" s="90">
        <v>5</v>
      </c>
      <c r="C10" s="196" t="str">
        <f>IF($C$2=0,"",IF(ISERROR(VLOOKUP($C$2&amp;"-"&amp;$B10,'BD Seq Op'!$C:$H,2,FALSE)),"",VLOOKUP($C$2&amp;"-"&amp;$B10,'BD Seq Op'!$C:$H,2,FALSE)))</f>
        <v/>
      </c>
      <c r="D10" s="197" t="str">
        <f>IF($C$2=0,"",IF(ISERROR(VLOOKUP($C$2&amp;"-"&amp;$B10,'BD Seq Op'!$C:$H,3,FALSE)),"",VLOOKUP($C$2&amp;"-"&amp;$B10,'BD Seq Op'!$C:$H,3,FALSE)))</f>
        <v/>
      </c>
      <c r="E10" s="197" t="str">
        <f>IF($C$2=0,"",IF(ISERROR(VLOOKUP($C$2&amp;"-"&amp;$B10,'BD Seq Op'!$C:$H,4,FALSE)),"",VLOOKUP($C$2&amp;"-"&amp;$B10,'BD Seq Op'!$C:$H,4,FALSE)))</f>
        <v/>
      </c>
      <c r="F10" s="198" t="str">
        <f>IF($C$2=0,"",IF(ISERROR(VLOOKUP($C$2&amp;"-"&amp;$B10,'BD Seq Op'!$C:$H,5,FALSE)),"",VLOOKUP($C$2&amp;"-"&amp;$B10,'BD Seq Op'!$C:$H,5,FALSE)))</f>
        <v/>
      </c>
      <c r="G10" s="36"/>
      <c r="H10" s="36"/>
      <c r="I10" s="36"/>
      <c r="J10" s="36"/>
      <c r="K10" s="36"/>
      <c r="L10" s="36"/>
      <c r="M10" s="36"/>
      <c r="O10" s="36"/>
      <c r="P10" s="36"/>
      <c r="Q10" s="36"/>
      <c r="R10" s="36"/>
      <c r="S10" s="36"/>
      <c r="T10" s="36"/>
      <c r="U10" s="36"/>
      <c r="V10" s="36"/>
      <c r="W10" s="36"/>
      <c r="X10" s="36"/>
    </row>
    <row r="11" spans="1:24" ht="18" customHeight="1" x14ac:dyDescent="0.25">
      <c r="A11" s="32" t="str">
        <f t="shared" si="0"/>
        <v>Não</v>
      </c>
      <c r="B11" s="91">
        <v>6</v>
      </c>
      <c r="C11" s="196" t="str">
        <f>IF($C$2=0,"",IF(ISERROR(VLOOKUP($C$2&amp;"-"&amp;$B11,'BD Seq Op'!$C:$H,2,FALSE)),"",VLOOKUP($C$2&amp;"-"&amp;$B11,'BD Seq Op'!$C:$H,2,FALSE)))</f>
        <v/>
      </c>
      <c r="D11" s="197" t="str">
        <f>IF($C$2=0,"",IF(ISERROR(VLOOKUP($C$2&amp;"-"&amp;$B11,'BD Seq Op'!$C:$H,3,FALSE)),"",VLOOKUP($C$2&amp;"-"&amp;$B11,'BD Seq Op'!$C:$H,3,FALSE)))</f>
        <v/>
      </c>
      <c r="E11" s="197" t="str">
        <f>IF($C$2=0,"",IF(ISERROR(VLOOKUP($C$2&amp;"-"&amp;$B11,'BD Seq Op'!$C:$H,4,FALSE)),"",VLOOKUP($C$2&amp;"-"&amp;$B11,'BD Seq Op'!$C:$H,4,FALSE)))</f>
        <v/>
      </c>
      <c r="F11" s="198" t="str">
        <f>IF($C$2=0,"",IF(ISERROR(VLOOKUP($C$2&amp;"-"&amp;$B11,'BD Seq Op'!$C:$H,5,FALSE)),"",VLOOKUP($C$2&amp;"-"&amp;$B11,'BD Seq Op'!$C:$H,5,FALSE)))</f>
        <v/>
      </c>
      <c r="G11" s="36"/>
      <c r="H11" s="36"/>
      <c r="I11" s="36"/>
      <c r="J11" s="36"/>
      <c r="K11" s="36"/>
      <c r="L11" s="36"/>
      <c r="M11" s="36"/>
      <c r="O11" s="36"/>
      <c r="P11" s="36"/>
      <c r="Q11" s="36"/>
      <c r="R11" s="36"/>
      <c r="S11" s="36"/>
      <c r="T11" s="36"/>
      <c r="U11" s="36"/>
      <c r="V11" s="36"/>
      <c r="W11" s="36"/>
      <c r="X11" s="36"/>
    </row>
    <row r="12" spans="1:24" ht="18" customHeight="1" x14ac:dyDescent="0.25">
      <c r="A12" s="32" t="str">
        <f t="shared" si="0"/>
        <v>Não</v>
      </c>
      <c r="B12" s="90">
        <v>7</v>
      </c>
      <c r="C12" s="196" t="str">
        <f>IF($C$2=0,"",IF(ISERROR(VLOOKUP($C$2&amp;"-"&amp;$B12,'BD Seq Op'!$C:$H,2,FALSE)),"",VLOOKUP($C$2&amp;"-"&amp;$B12,'BD Seq Op'!$C:$H,2,FALSE)))</f>
        <v/>
      </c>
      <c r="D12" s="197" t="str">
        <f>IF($C$2=0,"",IF(ISERROR(VLOOKUP($C$2&amp;"-"&amp;$B12,'BD Seq Op'!$C:$H,3,FALSE)),"",VLOOKUP($C$2&amp;"-"&amp;$B12,'BD Seq Op'!$C:$H,3,FALSE)))</f>
        <v/>
      </c>
      <c r="E12" s="197" t="str">
        <f>IF($C$2=0,"",IF(ISERROR(VLOOKUP($C$2&amp;"-"&amp;$B12,'BD Seq Op'!$C:$H,4,FALSE)),"",VLOOKUP($C$2&amp;"-"&amp;$B12,'BD Seq Op'!$C:$H,4,FALSE)))</f>
        <v/>
      </c>
      <c r="F12" s="198" t="str">
        <f>IF($C$2=0,"",IF(ISERROR(VLOOKUP($C$2&amp;"-"&amp;$B12,'BD Seq Op'!$C:$H,5,FALSE)),"",VLOOKUP($C$2&amp;"-"&amp;$B12,'BD Seq Op'!$C:$H,5,FALSE)))</f>
        <v/>
      </c>
      <c r="G12" s="36"/>
      <c r="H12" s="36"/>
      <c r="I12" s="36"/>
      <c r="J12" s="36"/>
      <c r="K12" s="36"/>
      <c r="L12" s="36"/>
      <c r="M12" s="36"/>
      <c r="O12" s="36"/>
      <c r="P12" s="36"/>
      <c r="Q12" s="36"/>
      <c r="R12" s="36"/>
      <c r="S12" s="36"/>
      <c r="T12" s="36"/>
      <c r="U12" s="36"/>
      <c r="V12" s="36"/>
      <c r="W12" s="36"/>
      <c r="X12" s="36"/>
    </row>
    <row r="13" spans="1:24" ht="18" customHeight="1" x14ac:dyDescent="0.25">
      <c r="A13" s="32" t="str">
        <f t="shared" si="0"/>
        <v>Não</v>
      </c>
      <c r="B13" s="91">
        <v>8</v>
      </c>
      <c r="C13" s="196" t="str">
        <f>IF($C$2=0,"",IF(ISERROR(VLOOKUP($C$2&amp;"-"&amp;$B13,'BD Seq Op'!$C:$H,2,FALSE)),"",VLOOKUP($C$2&amp;"-"&amp;$B13,'BD Seq Op'!$C:$H,2,FALSE)))</f>
        <v/>
      </c>
      <c r="D13" s="197" t="str">
        <f>IF($C$2=0,"",IF(ISERROR(VLOOKUP($C$2&amp;"-"&amp;$B13,'BD Seq Op'!$C:$H,3,FALSE)),"",VLOOKUP($C$2&amp;"-"&amp;$B13,'BD Seq Op'!$C:$H,3,FALSE)))</f>
        <v/>
      </c>
      <c r="E13" s="197" t="str">
        <f>IF($C$2=0,"",IF(ISERROR(VLOOKUP($C$2&amp;"-"&amp;$B13,'BD Seq Op'!$C:$H,4,FALSE)),"",VLOOKUP($C$2&amp;"-"&amp;$B13,'BD Seq Op'!$C:$H,4,FALSE)))</f>
        <v/>
      </c>
      <c r="F13" s="198" t="str">
        <f>IF($C$2=0,"",IF(ISERROR(VLOOKUP($C$2&amp;"-"&amp;$B13,'BD Seq Op'!$C:$H,5,FALSE)),"",VLOOKUP($C$2&amp;"-"&amp;$B13,'BD Seq Op'!$C:$H,5,FALSE)))</f>
        <v/>
      </c>
      <c r="G13" s="36"/>
      <c r="H13" s="36"/>
      <c r="I13" s="36"/>
      <c r="J13" s="36"/>
      <c r="K13" s="36"/>
      <c r="L13" s="36"/>
      <c r="M13" s="36"/>
      <c r="O13" s="36"/>
      <c r="P13" s="36"/>
      <c r="Q13" s="36"/>
      <c r="R13" s="36"/>
      <c r="S13" s="36"/>
      <c r="T13" s="36"/>
      <c r="U13" s="36"/>
      <c r="V13" s="36"/>
      <c r="W13" s="36"/>
      <c r="X13" s="36"/>
    </row>
    <row r="14" spans="1:24" ht="18" customHeight="1" x14ac:dyDescent="0.25">
      <c r="A14" s="32" t="str">
        <f t="shared" si="0"/>
        <v>Não</v>
      </c>
      <c r="B14" s="90">
        <v>9</v>
      </c>
      <c r="C14" s="196" t="str">
        <f>IF($C$2=0,"",IF(ISERROR(VLOOKUP($C$2&amp;"-"&amp;$B14,'BD Seq Op'!$C:$H,2,FALSE)),"",VLOOKUP($C$2&amp;"-"&amp;$B14,'BD Seq Op'!$C:$H,2,FALSE)))</f>
        <v/>
      </c>
      <c r="D14" s="197" t="str">
        <f>IF($C$2=0,"",IF(ISERROR(VLOOKUP($C$2&amp;"-"&amp;$B14,'BD Seq Op'!$C:$H,3,FALSE)),"",VLOOKUP($C$2&amp;"-"&amp;$B14,'BD Seq Op'!$C:$H,3,FALSE)))</f>
        <v/>
      </c>
      <c r="E14" s="197" t="str">
        <f>IF($C$2=0,"",IF(ISERROR(VLOOKUP($C$2&amp;"-"&amp;$B14,'BD Seq Op'!$C:$H,4,FALSE)),"",VLOOKUP($C$2&amp;"-"&amp;$B14,'BD Seq Op'!$C:$H,4,FALSE)))</f>
        <v/>
      </c>
      <c r="F14" s="198" t="str">
        <f>IF($C$2=0,"",IF(ISERROR(VLOOKUP($C$2&amp;"-"&amp;$B14,'BD Seq Op'!$C:$H,5,FALSE)),"",VLOOKUP($C$2&amp;"-"&amp;$B14,'BD Seq Op'!$C:$H,5,FALSE)))</f>
        <v/>
      </c>
      <c r="G14" s="36"/>
      <c r="H14" s="36"/>
      <c r="I14" s="36"/>
      <c r="J14" s="36"/>
      <c r="K14" s="36"/>
      <c r="L14" s="36"/>
      <c r="M14" s="36"/>
      <c r="O14" s="36"/>
      <c r="P14" s="36"/>
      <c r="Q14" s="36"/>
      <c r="R14" s="36"/>
      <c r="S14" s="36"/>
      <c r="T14" s="36"/>
      <c r="U14" s="36"/>
      <c r="V14" s="36"/>
      <c r="W14" s="36"/>
      <c r="X14" s="36"/>
    </row>
    <row r="15" spans="1:24" ht="18" customHeight="1" x14ac:dyDescent="0.25">
      <c r="A15" s="32" t="str">
        <f t="shared" si="0"/>
        <v>Não</v>
      </c>
      <c r="B15" s="91">
        <v>10</v>
      </c>
      <c r="C15" s="196" t="str">
        <f>IF($C$2=0,"",IF(ISERROR(VLOOKUP($C$2&amp;"-"&amp;$B15,'BD Seq Op'!$C:$H,2,FALSE)),"",VLOOKUP($C$2&amp;"-"&amp;$B15,'BD Seq Op'!$C:$H,2,FALSE)))</f>
        <v/>
      </c>
      <c r="D15" s="197" t="str">
        <f>IF($C$2=0,"",IF(ISERROR(VLOOKUP($C$2&amp;"-"&amp;$B15,'BD Seq Op'!$C:$H,3,FALSE)),"",VLOOKUP($C$2&amp;"-"&amp;$B15,'BD Seq Op'!$C:$H,3,FALSE)))</f>
        <v/>
      </c>
      <c r="E15" s="197" t="str">
        <f>IF($C$2=0,"",IF(ISERROR(VLOOKUP($C$2&amp;"-"&amp;$B15,'BD Seq Op'!$C:$H,4,FALSE)),"",VLOOKUP($C$2&amp;"-"&amp;$B15,'BD Seq Op'!$C:$H,4,FALSE)))</f>
        <v/>
      </c>
      <c r="F15" s="198" t="str">
        <f>IF($C$2=0,"",IF(ISERROR(VLOOKUP($C$2&amp;"-"&amp;$B15,'BD Seq Op'!$C:$H,5,FALSE)),"",VLOOKUP($C$2&amp;"-"&amp;$B15,'BD Seq Op'!$C:$H,5,FALSE)))</f>
        <v/>
      </c>
      <c r="G15" s="36"/>
      <c r="H15" s="36"/>
      <c r="I15" s="36"/>
      <c r="J15" s="36"/>
      <c r="K15" s="36"/>
      <c r="L15" s="36"/>
      <c r="M15" s="36"/>
      <c r="O15" s="36"/>
      <c r="P15" s="36"/>
      <c r="Q15" s="36"/>
      <c r="R15" s="36"/>
      <c r="S15" s="36"/>
      <c r="T15" s="36"/>
      <c r="U15" s="36"/>
      <c r="V15" s="36"/>
      <c r="W15" s="36"/>
      <c r="X15" s="36"/>
    </row>
    <row r="16" spans="1:24" ht="18" customHeight="1" x14ac:dyDescent="0.25">
      <c r="A16" s="32" t="str">
        <f t="shared" si="0"/>
        <v>Não</v>
      </c>
      <c r="B16" s="90">
        <v>11</v>
      </c>
      <c r="C16" s="196" t="str">
        <f>IF($C$2=0,"",IF(ISERROR(VLOOKUP($C$2&amp;"-"&amp;$B16,'BD Seq Op'!$C:$H,2,FALSE)),"",VLOOKUP($C$2&amp;"-"&amp;$B16,'BD Seq Op'!$C:$H,2,FALSE)))</f>
        <v/>
      </c>
      <c r="D16" s="197" t="str">
        <f>IF($C$2=0,"",IF(ISERROR(VLOOKUP($C$2&amp;"-"&amp;$B16,'BD Seq Op'!$C:$H,3,FALSE)),"",VLOOKUP($C$2&amp;"-"&amp;$B16,'BD Seq Op'!$C:$H,3,FALSE)))</f>
        <v/>
      </c>
      <c r="E16" s="197" t="str">
        <f>IF($C$2=0,"",IF(ISERROR(VLOOKUP($C$2&amp;"-"&amp;$B16,'BD Seq Op'!$C:$H,4,FALSE)),"",VLOOKUP($C$2&amp;"-"&amp;$B16,'BD Seq Op'!$C:$H,4,FALSE)))</f>
        <v/>
      </c>
      <c r="F16" s="198" t="str">
        <f>IF($C$2=0,"",IF(ISERROR(VLOOKUP($C$2&amp;"-"&amp;$B16,'BD Seq Op'!$C:$H,5,FALSE)),"",VLOOKUP($C$2&amp;"-"&amp;$B16,'BD Seq Op'!$C:$H,5,FALSE)))</f>
        <v/>
      </c>
      <c r="G16" s="36"/>
      <c r="H16" s="36"/>
      <c r="I16" s="36"/>
      <c r="J16" s="36"/>
      <c r="K16" s="36"/>
      <c r="L16" s="36"/>
      <c r="M16" s="36"/>
      <c r="O16" s="36"/>
      <c r="P16" s="36"/>
      <c r="Q16" s="36"/>
      <c r="R16" s="36"/>
      <c r="S16" s="36"/>
      <c r="T16" s="36"/>
      <c r="U16" s="36"/>
      <c r="V16" s="36"/>
      <c r="W16" s="36"/>
      <c r="X16" s="36"/>
    </row>
    <row r="17" spans="1:24" ht="18" customHeight="1" x14ac:dyDescent="0.25">
      <c r="A17" s="32" t="str">
        <f t="shared" si="0"/>
        <v>Não</v>
      </c>
      <c r="B17" s="91">
        <v>12</v>
      </c>
      <c r="C17" s="196" t="str">
        <f>IF($C$2=0,"",IF(ISERROR(VLOOKUP($C$2&amp;"-"&amp;$B17,'BD Seq Op'!$C:$H,2,FALSE)),"",VLOOKUP($C$2&amp;"-"&amp;$B17,'BD Seq Op'!$C:$H,2,FALSE)))</f>
        <v/>
      </c>
      <c r="D17" s="197" t="str">
        <f>IF($C$2=0,"",IF(ISERROR(VLOOKUP($C$2&amp;"-"&amp;$B17,'BD Seq Op'!$C:$H,3,FALSE)),"",VLOOKUP($C$2&amp;"-"&amp;$B17,'BD Seq Op'!$C:$H,3,FALSE)))</f>
        <v/>
      </c>
      <c r="E17" s="197" t="str">
        <f>IF($C$2=0,"",IF(ISERROR(VLOOKUP($C$2&amp;"-"&amp;$B17,'BD Seq Op'!$C:$H,4,FALSE)),"",VLOOKUP($C$2&amp;"-"&amp;$B17,'BD Seq Op'!$C:$H,4,FALSE)))</f>
        <v/>
      </c>
      <c r="F17" s="198" t="str">
        <f>IF($C$2=0,"",IF(ISERROR(VLOOKUP($C$2&amp;"-"&amp;$B17,'BD Seq Op'!$C:$H,5,FALSE)),"",VLOOKUP($C$2&amp;"-"&amp;$B17,'BD Seq Op'!$C:$H,5,FALSE)))</f>
        <v/>
      </c>
      <c r="G17" s="36"/>
      <c r="H17" s="36"/>
      <c r="I17" s="36"/>
      <c r="J17" s="36"/>
      <c r="K17" s="36"/>
      <c r="L17" s="36"/>
      <c r="M17" s="36"/>
      <c r="O17" s="36"/>
      <c r="P17" s="36"/>
      <c r="Q17" s="36"/>
      <c r="R17" s="36"/>
      <c r="S17" s="36"/>
      <c r="T17" s="36"/>
      <c r="U17" s="36"/>
      <c r="V17" s="36"/>
      <c r="W17" s="36"/>
      <c r="X17" s="36"/>
    </row>
    <row r="18" spans="1:24" ht="18" customHeight="1" x14ac:dyDescent="0.25">
      <c r="A18" s="32" t="str">
        <f t="shared" si="0"/>
        <v>Não</v>
      </c>
      <c r="B18" s="90">
        <v>13</v>
      </c>
      <c r="C18" s="196" t="str">
        <f>IF($C$2=0,"",IF(ISERROR(VLOOKUP($C$2&amp;"-"&amp;$B18,'BD Seq Op'!$C:$H,2,FALSE)),"",VLOOKUP($C$2&amp;"-"&amp;$B18,'BD Seq Op'!$C:$H,2,FALSE)))</f>
        <v/>
      </c>
      <c r="D18" s="197" t="str">
        <f>IF($C$2=0,"",IF(ISERROR(VLOOKUP($C$2&amp;"-"&amp;$B18,'BD Seq Op'!$C:$H,3,FALSE)),"",VLOOKUP($C$2&amp;"-"&amp;$B18,'BD Seq Op'!$C:$H,3,FALSE)))</f>
        <v/>
      </c>
      <c r="E18" s="197" t="str">
        <f>IF($C$2=0,"",IF(ISERROR(VLOOKUP($C$2&amp;"-"&amp;$B18,'BD Seq Op'!$C:$H,4,FALSE)),"",VLOOKUP($C$2&amp;"-"&amp;$B18,'BD Seq Op'!$C:$H,4,FALSE)))</f>
        <v/>
      </c>
      <c r="F18" s="198" t="str">
        <f>IF($C$2=0,"",IF(ISERROR(VLOOKUP($C$2&amp;"-"&amp;$B18,'BD Seq Op'!$C:$H,5,FALSE)),"",VLOOKUP($C$2&amp;"-"&amp;$B18,'BD Seq Op'!$C:$H,5,FALSE)))</f>
        <v/>
      </c>
      <c r="G18" s="36"/>
      <c r="H18" s="36"/>
      <c r="I18" s="36"/>
      <c r="J18" s="36"/>
      <c r="K18" s="36"/>
      <c r="L18" s="36"/>
      <c r="M18" s="36"/>
      <c r="O18" s="36"/>
      <c r="P18" s="36"/>
      <c r="Q18" s="36"/>
      <c r="R18" s="36"/>
      <c r="S18" s="36"/>
      <c r="T18" s="36"/>
      <c r="U18" s="36"/>
      <c r="V18" s="36"/>
      <c r="W18" s="36"/>
      <c r="X18" s="36"/>
    </row>
    <row r="19" spans="1:24" ht="18" customHeight="1" x14ac:dyDescent="0.25">
      <c r="A19" s="32" t="str">
        <f t="shared" si="0"/>
        <v>Não</v>
      </c>
      <c r="B19" s="91">
        <v>14</v>
      </c>
      <c r="C19" s="196" t="str">
        <f>IF($C$2=0,"",IF(ISERROR(VLOOKUP($C$2&amp;"-"&amp;$B19,'BD Seq Op'!$C:$H,2,FALSE)),"",VLOOKUP($C$2&amp;"-"&amp;$B19,'BD Seq Op'!$C:$H,2,FALSE)))</f>
        <v/>
      </c>
      <c r="D19" s="197" t="str">
        <f>IF($C$2=0,"",IF(ISERROR(VLOOKUP($C$2&amp;"-"&amp;$B19,'BD Seq Op'!$C:$H,3,FALSE)),"",VLOOKUP($C$2&amp;"-"&amp;$B19,'BD Seq Op'!$C:$H,3,FALSE)))</f>
        <v/>
      </c>
      <c r="E19" s="197" t="str">
        <f>IF($C$2=0,"",IF(ISERROR(VLOOKUP($C$2&amp;"-"&amp;$B19,'BD Seq Op'!$C:$H,4,FALSE)),"",VLOOKUP($C$2&amp;"-"&amp;$B19,'BD Seq Op'!$C:$H,4,FALSE)))</f>
        <v/>
      </c>
      <c r="F19" s="198" t="str">
        <f>IF($C$2=0,"",IF(ISERROR(VLOOKUP($C$2&amp;"-"&amp;$B19,'BD Seq Op'!$C:$H,5,FALSE)),"",VLOOKUP($C$2&amp;"-"&amp;$B19,'BD Seq Op'!$C:$H,5,FALSE)))</f>
        <v/>
      </c>
      <c r="G19" s="36"/>
      <c r="H19" s="36"/>
      <c r="I19" s="36"/>
      <c r="J19" s="36"/>
      <c r="K19" s="36"/>
      <c r="L19" s="36"/>
      <c r="M19" s="36"/>
      <c r="O19" s="36"/>
      <c r="P19" s="36"/>
      <c r="Q19" s="36"/>
      <c r="R19" s="36"/>
      <c r="S19" s="36"/>
      <c r="T19" s="36"/>
      <c r="U19" s="36"/>
      <c r="V19" s="36"/>
      <c r="W19" s="36"/>
      <c r="X19" s="36"/>
    </row>
    <row r="20" spans="1:24" ht="18" customHeight="1" x14ac:dyDescent="0.25">
      <c r="A20" s="32" t="str">
        <f t="shared" si="0"/>
        <v>Não</v>
      </c>
      <c r="B20" s="90">
        <v>15</v>
      </c>
      <c r="C20" s="196" t="str">
        <f>IF($C$2=0,"",IF(ISERROR(VLOOKUP($C$2&amp;"-"&amp;$B20,'BD Seq Op'!$C:$H,2,FALSE)),"",VLOOKUP($C$2&amp;"-"&amp;$B20,'BD Seq Op'!$C:$H,2,FALSE)))</f>
        <v/>
      </c>
      <c r="D20" s="197" t="str">
        <f>IF($C$2=0,"",IF(ISERROR(VLOOKUP($C$2&amp;"-"&amp;$B20,'BD Seq Op'!$C:$H,3,FALSE)),"",VLOOKUP($C$2&amp;"-"&amp;$B20,'BD Seq Op'!$C:$H,3,FALSE)))</f>
        <v/>
      </c>
      <c r="E20" s="197" t="str">
        <f>IF($C$2=0,"",IF(ISERROR(VLOOKUP($C$2&amp;"-"&amp;$B20,'BD Seq Op'!$C:$H,4,FALSE)),"",VLOOKUP($C$2&amp;"-"&amp;$B20,'BD Seq Op'!$C:$H,4,FALSE)))</f>
        <v/>
      </c>
      <c r="F20" s="198" t="str">
        <f>IF($C$2=0,"",IF(ISERROR(VLOOKUP($C$2&amp;"-"&amp;$B20,'BD Seq Op'!$C:$H,5,FALSE)),"",VLOOKUP($C$2&amp;"-"&amp;$B20,'BD Seq Op'!$C:$H,5,FALSE)))</f>
        <v/>
      </c>
      <c r="G20" s="36"/>
      <c r="H20" s="36"/>
      <c r="I20" s="36"/>
      <c r="J20" s="36"/>
      <c r="K20" s="36"/>
      <c r="L20" s="36"/>
      <c r="M20" s="36"/>
      <c r="O20" s="36"/>
      <c r="P20" s="36"/>
      <c r="Q20" s="36"/>
      <c r="R20" s="36"/>
      <c r="S20" s="36"/>
      <c r="T20" s="36"/>
      <c r="U20" s="36"/>
      <c r="V20" s="36"/>
      <c r="W20" s="36"/>
      <c r="X20" s="36"/>
    </row>
    <row r="21" spans="1:24" ht="18" customHeight="1" x14ac:dyDescent="0.25">
      <c r="A21" s="32" t="str">
        <f t="shared" si="0"/>
        <v>Não</v>
      </c>
      <c r="B21" s="91">
        <v>16</v>
      </c>
      <c r="C21" s="196" t="str">
        <f>IF($C$2=0,"",IF(ISERROR(VLOOKUP($C$2&amp;"-"&amp;$B21,'BD Seq Op'!$C:$H,2,FALSE)),"",VLOOKUP($C$2&amp;"-"&amp;$B21,'BD Seq Op'!$C:$H,2,FALSE)))</f>
        <v/>
      </c>
      <c r="D21" s="197" t="str">
        <f>IF($C$2=0,"",IF(ISERROR(VLOOKUP($C$2&amp;"-"&amp;$B21,'BD Seq Op'!$C:$H,3,FALSE)),"",VLOOKUP($C$2&amp;"-"&amp;$B21,'BD Seq Op'!$C:$H,3,FALSE)))</f>
        <v/>
      </c>
      <c r="E21" s="197" t="str">
        <f>IF($C$2=0,"",IF(ISERROR(VLOOKUP($C$2&amp;"-"&amp;$B21,'BD Seq Op'!$C:$H,4,FALSE)),"",VLOOKUP($C$2&amp;"-"&amp;$B21,'BD Seq Op'!$C:$H,4,FALSE)))</f>
        <v/>
      </c>
      <c r="F21" s="198" t="str">
        <f>IF($C$2=0,"",IF(ISERROR(VLOOKUP($C$2&amp;"-"&amp;$B21,'BD Seq Op'!$C:$H,5,FALSE)),"",VLOOKUP($C$2&amp;"-"&amp;$B21,'BD Seq Op'!$C:$H,5,FALSE)))</f>
        <v/>
      </c>
      <c r="G21" s="36"/>
      <c r="H21" s="36"/>
      <c r="I21" s="36"/>
      <c r="J21" s="36"/>
      <c r="K21" s="36"/>
      <c r="L21" s="36"/>
      <c r="M21" s="36"/>
      <c r="O21" s="36"/>
      <c r="P21" s="36"/>
      <c r="Q21" s="36"/>
      <c r="R21" s="36"/>
      <c r="S21" s="36"/>
      <c r="T21" s="36"/>
      <c r="U21" s="36"/>
      <c r="V21" s="36"/>
      <c r="W21" s="36"/>
      <c r="X21" s="36"/>
    </row>
    <row r="22" spans="1:24" ht="18" customHeight="1" x14ac:dyDescent="0.25">
      <c r="A22" s="32" t="str">
        <f t="shared" si="0"/>
        <v>Não</v>
      </c>
      <c r="B22" s="90">
        <v>17</v>
      </c>
      <c r="C22" s="196" t="str">
        <f>IF($C$2=0,"",IF(ISERROR(VLOOKUP($C$2&amp;"-"&amp;$B22,'BD Seq Op'!$C:$H,2,FALSE)),"",VLOOKUP($C$2&amp;"-"&amp;$B22,'BD Seq Op'!$C:$H,2,FALSE)))</f>
        <v/>
      </c>
      <c r="D22" s="197" t="str">
        <f>IF($C$2=0,"",IF(ISERROR(VLOOKUP($C$2&amp;"-"&amp;$B22,'BD Seq Op'!$C:$H,3,FALSE)),"",VLOOKUP($C$2&amp;"-"&amp;$B22,'BD Seq Op'!$C:$H,3,FALSE)))</f>
        <v/>
      </c>
      <c r="E22" s="197" t="str">
        <f>IF($C$2=0,"",IF(ISERROR(VLOOKUP($C$2&amp;"-"&amp;$B22,'BD Seq Op'!$C:$H,4,FALSE)),"",VLOOKUP($C$2&amp;"-"&amp;$B22,'BD Seq Op'!$C:$H,4,FALSE)))</f>
        <v/>
      </c>
      <c r="F22" s="198" t="str">
        <f>IF($C$2=0,"",IF(ISERROR(VLOOKUP($C$2&amp;"-"&amp;$B22,'BD Seq Op'!$C:$H,5,FALSE)),"",VLOOKUP($C$2&amp;"-"&amp;$B22,'BD Seq Op'!$C:$H,5,FALSE)))</f>
        <v/>
      </c>
      <c r="G22" s="36"/>
      <c r="H22" s="36"/>
      <c r="I22" s="36"/>
      <c r="J22" s="36"/>
      <c r="K22" s="36"/>
      <c r="L22" s="36"/>
      <c r="M22" s="36"/>
      <c r="O22" s="36"/>
      <c r="P22" s="36"/>
      <c r="Q22" s="36"/>
      <c r="R22" s="36"/>
      <c r="S22" s="36"/>
      <c r="T22" s="36"/>
      <c r="U22" s="36"/>
      <c r="V22" s="36"/>
      <c r="W22" s="36"/>
      <c r="X22" s="36"/>
    </row>
    <row r="23" spans="1:24" ht="18" customHeight="1" x14ac:dyDescent="0.25">
      <c r="A23" s="32" t="str">
        <f t="shared" si="0"/>
        <v>Não</v>
      </c>
      <c r="B23" s="91">
        <v>18</v>
      </c>
      <c r="C23" s="196" t="str">
        <f>IF($C$2=0,"",IF(ISERROR(VLOOKUP($C$2&amp;"-"&amp;$B23,'BD Seq Op'!$C:$H,2,FALSE)),"",VLOOKUP($C$2&amp;"-"&amp;$B23,'BD Seq Op'!$C:$H,2,FALSE)))</f>
        <v/>
      </c>
      <c r="D23" s="197" t="str">
        <f>IF($C$2=0,"",IF(ISERROR(VLOOKUP($C$2&amp;"-"&amp;$B23,'BD Seq Op'!$C:$H,3,FALSE)),"",VLOOKUP($C$2&amp;"-"&amp;$B23,'BD Seq Op'!$C:$H,3,FALSE)))</f>
        <v/>
      </c>
      <c r="E23" s="197" t="str">
        <f>IF($C$2=0,"",IF(ISERROR(VLOOKUP($C$2&amp;"-"&amp;$B23,'BD Seq Op'!$C:$H,4,FALSE)),"",VLOOKUP($C$2&amp;"-"&amp;$B23,'BD Seq Op'!$C:$H,4,FALSE)))</f>
        <v/>
      </c>
      <c r="F23" s="198" t="str">
        <f>IF($C$2=0,"",IF(ISERROR(VLOOKUP($C$2&amp;"-"&amp;$B23,'BD Seq Op'!$C:$H,5,FALSE)),"",VLOOKUP($C$2&amp;"-"&amp;$B23,'BD Seq Op'!$C:$H,5,FALSE)))</f>
        <v/>
      </c>
      <c r="G23" s="36"/>
      <c r="H23" s="36"/>
      <c r="I23" s="36"/>
      <c r="J23" s="36"/>
      <c r="K23" s="36"/>
      <c r="L23" s="36"/>
      <c r="M23" s="36"/>
      <c r="O23" s="36"/>
      <c r="P23" s="36"/>
      <c r="Q23" s="36"/>
      <c r="R23" s="36"/>
      <c r="S23" s="36"/>
      <c r="T23" s="36"/>
      <c r="U23" s="36"/>
      <c r="V23" s="36"/>
      <c r="W23" s="36"/>
      <c r="X23" s="36"/>
    </row>
    <row r="24" spans="1:24" ht="18" customHeight="1" x14ac:dyDescent="0.25">
      <c r="A24" s="32" t="str">
        <f t="shared" si="0"/>
        <v>Não</v>
      </c>
      <c r="B24" s="90">
        <v>19</v>
      </c>
      <c r="C24" s="196" t="str">
        <f>IF($C$2=0,"",IF(ISERROR(VLOOKUP($C$2&amp;"-"&amp;$B24,'BD Seq Op'!$C:$H,2,FALSE)),"",VLOOKUP($C$2&amp;"-"&amp;$B24,'BD Seq Op'!$C:$H,2,FALSE)))</f>
        <v/>
      </c>
      <c r="D24" s="197" t="str">
        <f>IF($C$2=0,"",IF(ISERROR(VLOOKUP($C$2&amp;"-"&amp;$B24,'BD Seq Op'!$C:$H,3,FALSE)),"",VLOOKUP($C$2&amp;"-"&amp;$B24,'BD Seq Op'!$C:$H,3,FALSE)))</f>
        <v/>
      </c>
      <c r="E24" s="197" t="str">
        <f>IF($C$2=0,"",IF(ISERROR(VLOOKUP($C$2&amp;"-"&amp;$B24,'BD Seq Op'!$C:$H,4,FALSE)),"",VLOOKUP($C$2&amp;"-"&amp;$B24,'BD Seq Op'!$C:$H,4,FALSE)))</f>
        <v/>
      </c>
      <c r="F24" s="198" t="str">
        <f>IF($C$2=0,"",IF(ISERROR(VLOOKUP($C$2&amp;"-"&amp;$B24,'BD Seq Op'!$C:$H,5,FALSE)),"",VLOOKUP($C$2&amp;"-"&amp;$B24,'BD Seq Op'!$C:$H,5,FALSE)))</f>
        <v/>
      </c>
      <c r="G24" s="36"/>
      <c r="H24" s="36"/>
      <c r="I24" s="36"/>
      <c r="J24" s="36"/>
      <c r="K24" s="36"/>
      <c r="L24" s="36"/>
      <c r="M24" s="36"/>
      <c r="O24" s="36"/>
      <c r="P24" s="36"/>
      <c r="Q24" s="36"/>
      <c r="R24" s="36"/>
      <c r="S24" s="36"/>
      <c r="T24" s="36"/>
      <c r="U24" s="36"/>
      <c r="V24" s="36"/>
      <c r="W24" s="36"/>
      <c r="X24" s="36"/>
    </row>
    <row r="25" spans="1:24" ht="18" customHeight="1" x14ac:dyDescent="0.25">
      <c r="A25" s="32" t="str">
        <f t="shared" si="0"/>
        <v>Não</v>
      </c>
      <c r="B25" s="91">
        <v>20</v>
      </c>
      <c r="C25" s="196" t="str">
        <f>IF($C$2=0,"",IF(ISERROR(VLOOKUP($C$2&amp;"-"&amp;$B25,'BD Seq Op'!$C:$H,2,FALSE)),"",VLOOKUP($C$2&amp;"-"&amp;$B25,'BD Seq Op'!$C:$H,2,FALSE)))</f>
        <v/>
      </c>
      <c r="D25" s="197" t="str">
        <f>IF($C$2=0,"",IF(ISERROR(VLOOKUP($C$2&amp;"-"&amp;$B25,'BD Seq Op'!$C:$H,3,FALSE)),"",VLOOKUP($C$2&amp;"-"&amp;$B25,'BD Seq Op'!$C:$H,3,FALSE)))</f>
        <v/>
      </c>
      <c r="E25" s="197" t="str">
        <f>IF($C$2=0,"",IF(ISERROR(VLOOKUP($C$2&amp;"-"&amp;$B25,'BD Seq Op'!$C:$H,4,FALSE)),"",VLOOKUP($C$2&amp;"-"&amp;$B25,'BD Seq Op'!$C:$H,4,FALSE)))</f>
        <v/>
      </c>
      <c r="F25" s="198" t="str">
        <f>IF($C$2=0,"",IF(ISERROR(VLOOKUP($C$2&amp;"-"&amp;$B25,'BD Seq Op'!$C:$H,5,FALSE)),"",VLOOKUP($C$2&amp;"-"&amp;$B25,'BD Seq Op'!$C:$H,5,FALSE)))</f>
        <v/>
      </c>
      <c r="G25" s="36"/>
      <c r="H25" s="36"/>
      <c r="I25" s="36"/>
      <c r="J25" s="36"/>
      <c r="K25" s="36"/>
      <c r="L25" s="36"/>
      <c r="M25" s="36"/>
      <c r="O25" s="36"/>
      <c r="P25" s="36"/>
      <c r="Q25" s="36"/>
      <c r="R25" s="36"/>
      <c r="S25" s="36"/>
      <c r="T25" s="36"/>
      <c r="U25" s="36"/>
      <c r="V25" s="36"/>
      <c r="W25" s="36"/>
      <c r="X25" s="36"/>
    </row>
    <row r="26" spans="1:24" ht="18" customHeight="1" x14ac:dyDescent="0.25">
      <c r="A26" s="32" t="str">
        <f t="shared" si="0"/>
        <v>Não</v>
      </c>
      <c r="B26" s="90">
        <v>21</v>
      </c>
      <c r="C26" s="196" t="str">
        <f>IF($C$2=0,"",IF(ISERROR(VLOOKUP($C$2&amp;"-"&amp;$B26,'BD Seq Op'!$C:$H,2,FALSE)),"",VLOOKUP($C$2&amp;"-"&amp;$B26,'BD Seq Op'!$C:$H,2,FALSE)))</f>
        <v/>
      </c>
      <c r="D26" s="197" t="str">
        <f>IF($C$2=0,"",IF(ISERROR(VLOOKUP($C$2&amp;"-"&amp;$B26,'BD Seq Op'!$C:$H,3,FALSE)),"",VLOOKUP($C$2&amp;"-"&amp;$B26,'BD Seq Op'!$C:$H,3,FALSE)))</f>
        <v/>
      </c>
      <c r="E26" s="197" t="str">
        <f>IF($C$2=0,"",IF(ISERROR(VLOOKUP($C$2&amp;"-"&amp;$B26,'BD Seq Op'!$C:$H,4,FALSE)),"",VLOOKUP($C$2&amp;"-"&amp;$B26,'BD Seq Op'!$C:$H,4,FALSE)))</f>
        <v/>
      </c>
      <c r="F26" s="198" t="str">
        <f>IF($C$2=0,"",IF(ISERROR(VLOOKUP($C$2&amp;"-"&amp;$B26,'BD Seq Op'!$C:$H,5,FALSE)),"",VLOOKUP($C$2&amp;"-"&amp;$B26,'BD Seq Op'!$C:$H,5,FALSE)))</f>
        <v/>
      </c>
      <c r="G26" s="36"/>
      <c r="H26" s="36"/>
      <c r="I26" s="36"/>
      <c r="J26" s="36"/>
      <c r="K26" s="36"/>
      <c r="L26" s="36"/>
      <c r="M26" s="36"/>
      <c r="O26" s="36"/>
      <c r="P26" s="36"/>
      <c r="Q26" s="36"/>
      <c r="R26" s="36"/>
      <c r="S26" s="36"/>
      <c r="T26" s="36"/>
      <c r="U26" s="36"/>
      <c r="V26" s="36"/>
      <c r="W26" s="36"/>
      <c r="X26" s="36"/>
    </row>
    <row r="27" spans="1:24" ht="18" customHeight="1" x14ac:dyDescent="0.25">
      <c r="A27" s="32" t="str">
        <f t="shared" si="0"/>
        <v>Não</v>
      </c>
      <c r="B27" s="91">
        <v>22</v>
      </c>
      <c r="C27" s="196" t="str">
        <f>IF($C$2=0,"",IF(ISERROR(VLOOKUP($C$2&amp;"-"&amp;$B27,'BD Seq Op'!$C:$H,2,FALSE)),"",VLOOKUP($C$2&amp;"-"&amp;$B27,'BD Seq Op'!$C:$H,2,FALSE)))</f>
        <v/>
      </c>
      <c r="D27" s="197" t="str">
        <f>IF($C$2=0,"",IF(ISERROR(VLOOKUP($C$2&amp;"-"&amp;$B27,'BD Seq Op'!$C:$H,3,FALSE)),"",VLOOKUP($C$2&amp;"-"&amp;$B27,'BD Seq Op'!$C:$H,3,FALSE)))</f>
        <v/>
      </c>
      <c r="E27" s="197" t="str">
        <f>IF($C$2=0,"",IF(ISERROR(VLOOKUP($C$2&amp;"-"&amp;$B27,'BD Seq Op'!$C:$H,4,FALSE)),"",VLOOKUP($C$2&amp;"-"&amp;$B27,'BD Seq Op'!$C:$H,4,FALSE)))</f>
        <v/>
      </c>
      <c r="F27" s="198" t="str">
        <f>IF($C$2=0,"",IF(ISERROR(VLOOKUP($C$2&amp;"-"&amp;$B27,'BD Seq Op'!$C:$H,5,FALSE)),"",VLOOKUP($C$2&amp;"-"&amp;$B27,'BD Seq Op'!$C:$H,5,FALSE)))</f>
        <v/>
      </c>
      <c r="G27" s="36"/>
      <c r="H27" s="36"/>
      <c r="I27" s="36"/>
      <c r="J27" s="36"/>
      <c r="K27" s="36"/>
      <c r="L27" s="36"/>
      <c r="M27" s="36"/>
      <c r="O27" s="36"/>
      <c r="P27" s="36"/>
      <c r="Q27" s="36"/>
      <c r="R27" s="36"/>
      <c r="S27" s="36"/>
      <c r="T27" s="36"/>
      <c r="U27" s="36"/>
      <c r="V27" s="36"/>
      <c r="W27" s="36"/>
      <c r="X27" s="36"/>
    </row>
    <row r="28" spans="1:24" ht="18" customHeight="1" x14ac:dyDescent="0.25">
      <c r="A28" s="32" t="str">
        <f t="shared" si="0"/>
        <v>Não</v>
      </c>
      <c r="B28" s="90">
        <v>23</v>
      </c>
      <c r="C28" s="196" t="str">
        <f>IF($C$2=0,"",IF(ISERROR(VLOOKUP($C$2&amp;"-"&amp;$B28,'BD Seq Op'!$C:$H,2,FALSE)),"",VLOOKUP($C$2&amp;"-"&amp;$B28,'BD Seq Op'!$C:$H,2,FALSE)))</f>
        <v/>
      </c>
      <c r="D28" s="197" t="str">
        <f>IF($C$2=0,"",IF(ISERROR(VLOOKUP($C$2&amp;"-"&amp;$B28,'BD Seq Op'!$C:$H,3,FALSE)),"",VLOOKUP($C$2&amp;"-"&amp;$B28,'BD Seq Op'!$C:$H,3,FALSE)))</f>
        <v/>
      </c>
      <c r="E28" s="197" t="str">
        <f>IF($C$2=0,"",IF(ISERROR(VLOOKUP($C$2&amp;"-"&amp;$B28,'BD Seq Op'!$C:$H,4,FALSE)),"",VLOOKUP($C$2&amp;"-"&amp;$B28,'BD Seq Op'!$C:$H,4,FALSE)))</f>
        <v/>
      </c>
      <c r="F28" s="198" t="str">
        <f>IF($C$2=0,"",IF(ISERROR(VLOOKUP($C$2&amp;"-"&amp;$B28,'BD Seq Op'!$C:$H,5,FALSE)),"",VLOOKUP($C$2&amp;"-"&amp;$B28,'BD Seq Op'!$C:$H,5,FALSE)))</f>
        <v/>
      </c>
      <c r="G28" s="36"/>
      <c r="H28" s="36"/>
      <c r="I28" s="36"/>
      <c r="J28" s="36"/>
      <c r="K28" s="36"/>
      <c r="L28" s="36"/>
      <c r="M28" s="36"/>
      <c r="O28" s="36"/>
      <c r="P28" s="36"/>
      <c r="Q28" s="36"/>
      <c r="R28" s="36"/>
      <c r="S28" s="36"/>
      <c r="T28" s="36"/>
      <c r="U28" s="36"/>
      <c r="V28" s="36"/>
      <c r="W28" s="36"/>
      <c r="X28" s="36"/>
    </row>
    <row r="29" spans="1:24" ht="18" customHeight="1" x14ac:dyDescent="0.25">
      <c r="A29" s="32" t="str">
        <f t="shared" si="0"/>
        <v>Não</v>
      </c>
      <c r="B29" s="91">
        <v>24</v>
      </c>
      <c r="C29" s="196" t="str">
        <f>IF($C$2=0,"",IF(ISERROR(VLOOKUP($C$2&amp;"-"&amp;$B29,'BD Seq Op'!$C:$H,2,FALSE)),"",VLOOKUP($C$2&amp;"-"&amp;$B29,'BD Seq Op'!$C:$H,2,FALSE)))</f>
        <v/>
      </c>
      <c r="D29" s="197" t="str">
        <f>IF($C$2=0,"",IF(ISERROR(VLOOKUP($C$2&amp;"-"&amp;$B29,'BD Seq Op'!$C:$H,3,FALSE)),"",VLOOKUP($C$2&amp;"-"&amp;$B29,'BD Seq Op'!$C:$H,3,FALSE)))</f>
        <v/>
      </c>
      <c r="E29" s="197" t="str">
        <f>IF($C$2=0,"",IF(ISERROR(VLOOKUP($C$2&amp;"-"&amp;$B29,'BD Seq Op'!$C:$H,4,FALSE)),"",VLOOKUP($C$2&amp;"-"&amp;$B29,'BD Seq Op'!$C:$H,4,FALSE)))</f>
        <v/>
      </c>
      <c r="F29" s="198" t="str">
        <f>IF($C$2=0,"",IF(ISERROR(VLOOKUP($C$2&amp;"-"&amp;$B29,'BD Seq Op'!$C:$H,5,FALSE)),"",VLOOKUP($C$2&amp;"-"&amp;$B29,'BD Seq Op'!$C:$H,5,FALSE)))</f>
        <v/>
      </c>
      <c r="G29" s="36"/>
      <c r="H29" s="36"/>
      <c r="I29" s="36"/>
      <c r="J29" s="36"/>
      <c r="K29" s="36"/>
      <c r="L29" s="36"/>
      <c r="M29" s="36"/>
      <c r="O29" s="36"/>
      <c r="P29" s="36"/>
      <c r="Q29" s="36"/>
      <c r="R29" s="36"/>
      <c r="S29" s="36"/>
      <c r="T29" s="36"/>
      <c r="U29" s="36"/>
      <c r="V29" s="36"/>
      <c r="W29" s="36"/>
      <c r="X29" s="36"/>
    </row>
    <row r="30" spans="1:24" ht="18" customHeight="1" x14ac:dyDescent="0.25">
      <c r="A30" s="32" t="str">
        <f t="shared" si="0"/>
        <v>Não</v>
      </c>
      <c r="B30" s="90">
        <v>25</v>
      </c>
      <c r="C30" s="196" t="str">
        <f>IF($C$2=0,"",IF(ISERROR(VLOOKUP($C$2&amp;"-"&amp;$B30,'BD Seq Op'!$C:$H,2,FALSE)),"",VLOOKUP($C$2&amp;"-"&amp;$B30,'BD Seq Op'!$C:$H,2,FALSE)))</f>
        <v/>
      </c>
      <c r="D30" s="197" t="str">
        <f>IF($C$2=0,"",IF(ISERROR(VLOOKUP($C$2&amp;"-"&amp;$B30,'BD Seq Op'!$C:$H,3,FALSE)),"",VLOOKUP($C$2&amp;"-"&amp;$B30,'BD Seq Op'!$C:$H,3,FALSE)))</f>
        <v/>
      </c>
      <c r="E30" s="197" t="str">
        <f>IF($C$2=0,"",IF(ISERROR(VLOOKUP($C$2&amp;"-"&amp;$B30,'BD Seq Op'!$C:$H,4,FALSE)),"",VLOOKUP($C$2&amp;"-"&amp;$B30,'BD Seq Op'!$C:$H,4,FALSE)))</f>
        <v/>
      </c>
      <c r="F30" s="198" t="str">
        <f>IF($C$2=0,"",IF(ISERROR(VLOOKUP($C$2&amp;"-"&amp;$B30,'BD Seq Op'!$C:$H,5,FALSE)),"",VLOOKUP($C$2&amp;"-"&amp;$B30,'BD Seq Op'!$C:$H,5,FALSE)))</f>
        <v/>
      </c>
      <c r="G30" s="36"/>
      <c r="H30" s="36"/>
      <c r="I30" s="36"/>
      <c r="J30" s="36"/>
      <c r="K30" s="36"/>
      <c r="L30" s="36"/>
      <c r="M30" s="36"/>
      <c r="O30" s="36"/>
      <c r="P30" s="36"/>
      <c r="Q30" s="36"/>
      <c r="R30" s="36"/>
      <c r="S30" s="36"/>
      <c r="T30" s="36"/>
      <c r="U30" s="36"/>
      <c r="V30" s="36"/>
      <c r="W30" s="36"/>
      <c r="X30" s="36"/>
    </row>
    <row r="31" spans="1:24" ht="18" customHeight="1" x14ac:dyDescent="0.25">
      <c r="A31" s="32" t="str">
        <f t="shared" si="0"/>
        <v>Não</v>
      </c>
      <c r="B31" s="91">
        <v>26</v>
      </c>
      <c r="C31" s="196" t="str">
        <f>IF($C$2=0,"",IF(ISERROR(VLOOKUP($C$2&amp;"-"&amp;$B31,'BD Seq Op'!$C:$H,2,FALSE)),"",VLOOKUP($C$2&amp;"-"&amp;$B31,'BD Seq Op'!$C:$H,2,FALSE)))</f>
        <v/>
      </c>
      <c r="D31" s="197" t="str">
        <f>IF($C$2=0,"",IF(ISERROR(VLOOKUP($C$2&amp;"-"&amp;$B31,'BD Seq Op'!$C:$H,3,FALSE)),"",VLOOKUP($C$2&amp;"-"&amp;$B31,'BD Seq Op'!$C:$H,3,FALSE)))</f>
        <v/>
      </c>
      <c r="E31" s="197" t="str">
        <f>IF($C$2=0,"",IF(ISERROR(VLOOKUP($C$2&amp;"-"&amp;$B31,'BD Seq Op'!$C:$H,4,FALSE)),"",VLOOKUP($C$2&amp;"-"&amp;$B31,'BD Seq Op'!$C:$H,4,FALSE)))</f>
        <v/>
      </c>
      <c r="F31" s="198" t="str">
        <f>IF($C$2=0,"",IF(ISERROR(VLOOKUP($C$2&amp;"-"&amp;$B31,'BD Seq Op'!$C:$H,5,FALSE)),"",VLOOKUP($C$2&amp;"-"&amp;$B31,'BD Seq Op'!$C:$H,5,FALSE)))</f>
        <v/>
      </c>
      <c r="G31" s="36"/>
      <c r="H31" s="36"/>
      <c r="I31" s="36"/>
      <c r="J31" s="36"/>
      <c r="K31" s="36"/>
      <c r="L31" s="36"/>
      <c r="M31" s="36"/>
      <c r="O31" s="36"/>
      <c r="P31" s="36"/>
      <c r="Q31" s="36"/>
      <c r="R31" s="36"/>
      <c r="S31" s="36"/>
      <c r="T31" s="36"/>
      <c r="U31" s="36"/>
      <c r="V31" s="36"/>
      <c r="W31" s="36"/>
      <c r="X31" s="36"/>
    </row>
    <row r="32" spans="1:24" ht="18" customHeight="1" x14ac:dyDescent="0.25">
      <c r="A32" s="32" t="str">
        <f t="shared" si="0"/>
        <v>Não</v>
      </c>
      <c r="B32" s="90">
        <v>27</v>
      </c>
      <c r="C32" s="196" t="str">
        <f>IF($C$2=0,"",IF(ISERROR(VLOOKUP($C$2&amp;"-"&amp;$B32,'BD Seq Op'!$C:$H,2,FALSE)),"",VLOOKUP($C$2&amp;"-"&amp;$B32,'BD Seq Op'!$C:$H,2,FALSE)))</f>
        <v/>
      </c>
      <c r="D32" s="197" t="str">
        <f>IF($C$2=0,"",IF(ISERROR(VLOOKUP($C$2&amp;"-"&amp;$B32,'BD Seq Op'!$C:$H,3,FALSE)),"",VLOOKUP($C$2&amp;"-"&amp;$B32,'BD Seq Op'!$C:$H,3,FALSE)))</f>
        <v/>
      </c>
      <c r="E32" s="197" t="str">
        <f>IF($C$2=0,"",IF(ISERROR(VLOOKUP($C$2&amp;"-"&amp;$B32,'BD Seq Op'!$C:$H,4,FALSE)),"",VLOOKUP($C$2&amp;"-"&amp;$B32,'BD Seq Op'!$C:$H,4,FALSE)))</f>
        <v/>
      </c>
      <c r="F32" s="198" t="str">
        <f>IF($C$2=0,"",IF(ISERROR(VLOOKUP($C$2&amp;"-"&amp;$B32,'BD Seq Op'!$C:$H,5,FALSE)),"",VLOOKUP($C$2&amp;"-"&amp;$B32,'BD Seq Op'!$C:$H,5,FALSE)))</f>
        <v/>
      </c>
      <c r="G32" s="36"/>
      <c r="H32" s="36"/>
      <c r="I32" s="36"/>
      <c r="J32" s="36"/>
      <c r="K32" s="36"/>
      <c r="L32" s="36"/>
      <c r="M32" s="36"/>
      <c r="O32" s="36"/>
      <c r="P32" s="36"/>
      <c r="Q32" s="36"/>
      <c r="R32" s="36"/>
      <c r="S32" s="36"/>
      <c r="T32" s="36"/>
      <c r="U32" s="36"/>
      <c r="V32" s="36"/>
      <c r="W32" s="36"/>
      <c r="X32" s="36"/>
    </row>
    <row r="33" spans="1:24" ht="18" customHeight="1" x14ac:dyDescent="0.25">
      <c r="A33" s="32" t="str">
        <f t="shared" si="0"/>
        <v>Não</v>
      </c>
      <c r="B33" s="91">
        <v>28</v>
      </c>
      <c r="C33" s="196" t="str">
        <f>IF($C$2=0,"",IF(ISERROR(VLOOKUP($C$2&amp;"-"&amp;$B33,'BD Seq Op'!$C:$H,2,FALSE)),"",VLOOKUP($C$2&amp;"-"&amp;$B33,'BD Seq Op'!$C:$H,2,FALSE)))</f>
        <v/>
      </c>
      <c r="D33" s="197" t="str">
        <f>IF($C$2=0,"",IF(ISERROR(VLOOKUP($C$2&amp;"-"&amp;$B33,'BD Seq Op'!$C:$H,3,FALSE)),"",VLOOKUP($C$2&amp;"-"&amp;$B33,'BD Seq Op'!$C:$H,3,FALSE)))</f>
        <v/>
      </c>
      <c r="E33" s="197" t="str">
        <f>IF($C$2=0,"",IF(ISERROR(VLOOKUP($C$2&amp;"-"&amp;$B33,'BD Seq Op'!$C:$H,4,FALSE)),"",VLOOKUP($C$2&amp;"-"&amp;$B33,'BD Seq Op'!$C:$H,4,FALSE)))</f>
        <v/>
      </c>
      <c r="F33" s="198" t="str">
        <f>IF($C$2=0,"",IF(ISERROR(VLOOKUP($C$2&amp;"-"&amp;$B33,'BD Seq Op'!$C:$H,5,FALSE)),"",VLOOKUP($C$2&amp;"-"&amp;$B33,'BD Seq Op'!$C:$H,5,FALSE)))</f>
        <v/>
      </c>
      <c r="G33" s="36"/>
      <c r="H33" s="36"/>
      <c r="I33" s="36"/>
      <c r="J33" s="36"/>
      <c r="K33" s="36"/>
      <c r="L33" s="36"/>
      <c r="M33" s="36"/>
      <c r="O33" s="36"/>
      <c r="P33" s="36"/>
      <c r="Q33" s="36"/>
      <c r="R33" s="36"/>
      <c r="S33" s="36"/>
      <c r="T33" s="36"/>
      <c r="U33" s="36"/>
      <c r="V33" s="36"/>
      <c r="W33" s="36"/>
      <c r="X33" s="36"/>
    </row>
    <row r="34" spans="1:24" ht="18" customHeight="1" x14ac:dyDescent="0.25">
      <c r="A34" s="32" t="str">
        <f t="shared" si="0"/>
        <v>Não</v>
      </c>
      <c r="B34" s="90">
        <v>29</v>
      </c>
      <c r="C34" s="196" t="str">
        <f>IF($C$2=0,"",IF(ISERROR(VLOOKUP($C$2&amp;"-"&amp;$B34,'BD Seq Op'!$C:$H,2,FALSE)),"",VLOOKUP($C$2&amp;"-"&amp;$B34,'BD Seq Op'!$C:$H,2,FALSE)))</f>
        <v/>
      </c>
      <c r="D34" s="197" t="str">
        <f>IF($C$2=0,"",IF(ISERROR(VLOOKUP($C$2&amp;"-"&amp;$B34,'BD Seq Op'!$C:$H,3,FALSE)),"",VLOOKUP($C$2&amp;"-"&amp;$B34,'BD Seq Op'!$C:$H,3,FALSE)))</f>
        <v/>
      </c>
      <c r="E34" s="197" t="str">
        <f>IF($C$2=0,"",IF(ISERROR(VLOOKUP($C$2&amp;"-"&amp;$B34,'BD Seq Op'!$C:$H,4,FALSE)),"",VLOOKUP($C$2&amp;"-"&amp;$B34,'BD Seq Op'!$C:$H,4,FALSE)))</f>
        <v/>
      </c>
      <c r="F34" s="198" t="str">
        <f>IF($C$2=0,"",IF(ISERROR(VLOOKUP($C$2&amp;"-"&amp;$B34,'BD Seq Op'!$C:$H,5,FALSE)),"",VLOOKUP($C$2&amp;"-"&amp;$B34,'BD Seq Op'!$C:$H,5,FALSE)))</f>
        <v/>
      </c>
      <c r="G34" s="36"/>
      <c r="H34" s="36"/>
      <c r="I34" s="36"/>
      <c r="J34" s="36"/>
      <c r="K34" s="36"/>
      <c r="L34" s="36"/>
      <c r="M34" s="36"/>
      <c r="O34" s="36"/>
      <c r="P34" s="36"/>
      <c r="Q34" s="36"/>
      <c r="R34" s="36"/>
      <c r="S34" s="36"/>
      <c r="T34" s="36"/>
      <c r="U34" s="36"/>
      <c r="V34" s="36"/>
      <c r="W34" s="36"/>
      <c r="X34" s="36"/>
    </row>
    <row r="35" spans="1:24" ht="18" customHeight="1" x14ac:dyDescent="0.25">
      <c r="A35" s="32" t="str">
        <f t="shared" si="0"/>
        <v>Não</v>
      </c>
      <c r="B35" s="91">
        <v>30</v>
      </c>
      <c r="C35" s="196" t="str">
        <f>IF($C$2=0,"",IF(ISERROR(VLOOKUP($C$2&amp;"-"&amp;$B35,'BD Seq Op'!$C:$H,2,FALSE)),"",VLOOKUP($C$2&amp;"-"&amp;$B35,'BD Seq Op'!$C:$H,2,FALSE)))</f>
        <v/>
      </c>
      <c r="D35" s="197" t="str">
        <f>IF($C$2=0,"",IF(ISERROR(VLOOKUP($C$2&amp;"-"&amp;$B35,'BD Seq Op'!$C:$H,3,FALSE)),"",VLOOKUP($C$2&amp;"-"&amp;$B35,'BD Seq Op'!$C:$H,3,FALSE)))</f>
        <v/>
      </c>
      <c r="E35" s="197" t="str">
        <f>IF($C$2=0,"",IF(ISERROR(VLOOKUP($C$2&amp;"-"&amp;$B35,'BD Seq Op'!$C:$H,4,FALSE)),"",VLOOKUP($C$2&amp;"-"&amp;$B35,'BD Seq Op'!$C:$H,4,FALSE)))</f>
        <v/>
      </c>
      <c r="F35" s="198" t="str">
        <f>IF($C$2=0,"",IF(ISERROR(VLOOKUP($C$2&amp;"-"&amp;$B35,'BD Seq Op'!$C:$H,5,FALSE)),"",VLOOKUP($C$2&amp;"-"&amp;$B35,'BD Seq Op'!$C:$H,5,FALSE)))</f>
        <v/>
      </c>
      <c r="G35" s="36"/>
      <c r="H35" s="36"/>
      <c r="I35" s="36"/>
      <c r="J35" s="36"/>
      <c r="K35" s="36"/>
      <c r="L35" s="36"/>
      <c r="M35" s="36"/>
      <c r="O35" s="36"/>
      <c r="P35" s="36"/>
      <c r="Q35" s="36"/>
      <c r="R35" s="36"/>
      <c r="S35" s="36"/>
      <c r="T35" s="36"/>
      <c r="U35" s="36"/>
      <c r="V35" s="36"/>
      <c r="W35" s="36"/>
      <c r="X35" s="36"/>
    </row>
    <row r="36" spans="1:24" ht="18" customHeight="1" x14ac:dyDescent="0.25">
      <c r="A36" s="32" t="str">
        <f t="shared" si="0"/>
        <v>Não</v>
      </c>
      <c r="B36" s="90">
        <v>31</v>
      </c>
      <c r="C36" s="196" t="str">
        <f>IF($C$2=0,"",IF(ISERROR(VLOOKUP($C$2&amp;"-"&amp;$B36,'BD Seq Op'!$C:$H,2,FALSE)),"",VLOOKUP($C$2&amp;"-"&amp;$B36,'BD Seq Op'!$C:$H,2,FALSE)))</f>
        <v/>
      </c>
      <c r="D36" s="197" t="str">
        <f>IF($C$2=0,"",IF(ISERROR(VLOOKUP($C$2&amp;"-"&amp;$B36,'BD Seq Op'!$C:$H,3,FALSE)),"",VLOOKUP($C$2&amp;"-"&amp;$B36,'BD Seq Op'!$C:$H,3,FALSE)))</f>
        <v/>
      </c>
      <c r="E36" s="197" t="str">
        <f>IF($C$2=0,"",IF(ISERROR(VLOOKUP($C$2&amp;"-"&amp;$B36,'BD Seq Op'!$C:$H,4,FALSE)),"",VLOOKUP($C$2&amp;"-"&amp;$B36,'BD Seq Op'!$C:$H,4,FALSE)))</f>
        <v/>
      </c>
      <c r="F36" s="198" t="str">
        <f>IF($C$2=0,"",IF(ISERROR(VLOOKUP($C$2&amp;"-"&amp;$B36,'BD Seq Op'!$C:$H,5,FALSE)),"",VLOOKUP($C$2&amp;"-"&amp;$B36,'BD Seq Op'!$C:$H,5,FALSE)))</f>
        <v/>
      </c>
      <c r="G36" s="36"/>
      <c r="H36" s="36"/>
      <c r="I36" s="36"/>
      <c r="J36" s="36"/>
      <c r="K36" s="36"/>
      <c r="L36" s="36"/>
      <c r="M36" s="36"/>
      <c r="O36" s="36"/>
      <c r="P36" s="36"/>
      <c r="Q36" s="36"/>
      <c r="R36" s="36"/>
      <c r="S36" s="36"/>
      <c r="T36" s="36"/>
      <c r="U36" s="36"/>
      <c r="V36" s="36"/>
      <c r="W36" s="36"/>
      <c r="X36" s="36"/>
    </row>
    <row r="37" spans="1:24" ht="18" customHeight="1" x14ac:dyDescent="0.25">
      <c r="A37" s="32" t="str">
        <f t="shared" si="0"/>
        <v>Não</v>
      </c>
      <c r="B37" s="91">
        <v>32</v>
      </c>
      <c r="C37" s="196" t="str">
        <f>IF($C$2=0,"",IF(ISERROR(VLOOKUP($C$2&amp;"-"&amp;$B37,'BD Seq Op'!$C:$H,2,FALSE)),"",VLOOKUP($C$2&amp;"-"&amp;$B37,'BD Seq Op'!$C:$H,2,FALSE)))</f>
        <v/>
      </c>
      <c r="D37" s="197" t="str">
        <f>IF($C$2=0,"",IF(ISERROR(VLOOKUP($C$2&amp;"-"&amp;$B37,'BD Seq Op'!$C:$H,3,FALSE)),"",VLOOKUP($C$2&amp;"-"&amp;$B37,'BD Seq Op'!$C:$H,3,FALSE)))</f>
        <v/>
      </c>
      <c r="E37" s="197" t="str">
        <f>IF($C$2=0,"",IF(ISERROR(VLOOKUP($C$2&amp;"-"&amp;$B37,'BD Seq Op'!$C:$H,4,FALSE)),"",VLOOKUP($C$2&amp;"-"&amp;$B37,'BD Seq Op'!$C:$H,4,FALSE)))</f>
        <v/>
      </c>
      <c r="F37" s="198" t="str">
        <f>IF($C$2=0,"",IF(ISERROR(VLOOKUP($C$2&amp;"-"&amp;$B37,'BD Seq Op'!$C:$H,5,FALSE)),"",VLOOKUP($C$2&amp;"-"&amp;$B37,'BD Seq Op'!$C:$H,5,FALSE)))</f>
        <v/>
      </c>
      <c r="G37" s="36"/>
      <c r="H37" s="36"/>
      <c r="I37" s="36"/>
      <c r="J37" s="36"/>
      <c r="K37" s="36"/>
      <c r="L37" s="36"/>
      <c r="M37" s="36"/>
      <c r="O37" s="36"/>
      <c r="P37" s="36"/>
      <c r="Q37" s="36"/>
      <c r="R37" s="36"/>
      <c r="S37" s="36"/>
      <c r="T37" s="36"/>
      <c r="U37" s="36"/>
      <c r="V37" s="36"/>
      <c r="W37" s="36"/>
      <c r="X37" s="36"/>
    </row>
    <row r="38" spans="1:24" ht="18" customHeight="1" x14ac:dyDescent="0.25">
      <c r="A38" s="32" t="str">
        <f t="shared" si="0"/>
        <v>Não</v>
      </c>
      <c r="B38" s="90">
        <v>33</v>
      </c>
      <c r="C38" s="196" t="str">
        <f>IF($C$2=0,"",IF(ISERROR(VLOOKUP($C$2&amp;"-"&amp;$B38,'BD Seq Op'!$C:$H,2,FALSE)),"",VLOOKUP($C$2&amp;"-"&amp;$B38,'BD Seq Op'!$C:$H,2,FALSE)))</f>
        <v/>
      </c>
      <c r="D38" s="197" t="str">
        <f>IF($C$2=0,"",IF(ISERROR(VLOOKUP($C$2&amp;"-"&amp;$B38,'BD Seq Op'!$C:$H,3,FALSE)),"",VLOOKUP($C$2&amp;"-"&amp;$B38,'BD Seq Op'!$C:$H,3,FALSE)))</f>
        <v/>
      </c>
      <c r="E38" s="197" t="str">
        <f>IF($C$2=0,"",IF(ISERROR(VLOOKUP($C$2&amp;"-"&amp;$B38,'BD Seq Op'!$C:$H,4,FALSE)),"",VLOOKUP($C$2&amp;"-"&amp;$B38,'BD Seq Op'!$C:$H,4,FALSE)))</f>
        <v/>
      </c>
      <c r="F38" s="198" t="str">
        <f>IF($C$2=0,"",IF(ISERROR(VLOOKUP($C$2&amp;"-"&amp;$B38,'BD Seq Op'!$C:$H,5,FALSE)),"",VLOOKUP($C$2&amp;"-"&amp;$B38,'BD Seq Op'!$C:$H,5,FALSE)))</f>
        <v/>
      </c>
      <c r="G38" s="36"/>
      <c r="H38" s="36"/>
      <c r="I38" s="36"/>
      <c r="J38" s="36"/>
      <c r="K38" s="36"/>
      <c r="L38" s="36"/>
      <c r="M38" s="36"/>
      <c r="O38" s="36"/>
      <c r="P38" s="36"/>
      <c r="Q38" s="36"/>
      <c r="R38" s="36"/>
      <c r="S38" s="36"/>
      <c r="T38" s="36"/>
      <c r="U38" s="36"/>
      <c r="V38" s="36"/>
      <c r="W38" s="36"/>
      <c r="X38" s="36"/>
    </row>
    <row r="39" spans="1:24" ht="18" customHeight="1" x14ac:dyDescent="0.25">
      <c r="A39" s="32" t="str">
        <f t="shared" si="0"/>
        <v>Não</v>
      </c>
      <c r="B39" s="91">
        <v>34</v>
      </c>
      <c r="C39" s="196" t="str">
        <f>IF($C$2=0,"",IF(ISERROR(VLOOKUP($C$2&amp;"-"&amp;$B39,'BD Seq Op'!$C:$H,2,FALSE)),"",VLOOKUP($C$2&amp;"-"&amp;$B39,'BD Seq Op'!$C:$H,2,FALSE)))</f>
        <v/>
      </c>
      <c r="D39" s="197" t="str">
        <f>IF($C$2=0,"",IF(ISERROR(VLOOKUP($C$2&amp;"-"&amp;$B39,'BD Seq Op'!$C:$H,3,FALSE)),"",VLOOKUP($C$2&amp;"-"&amp;$B39,'BD Seq Op'!$C:$H,3,FALSE)))</f>
        <v/>
      </c>
      <c r="E39" s="197" t="str">
        <f>IF($C$2=0,"",IF(ISERROR(VLOOKUP($C$2&amp;"-"&amp;$B39,'BD Seq Op'!$C:$H,4,FALSE)),"",VLOOKUP($C$2&amp;"-"&amp;$B39,'BD Seq Op'!$C:$H,4,FALSE)))</f>
        <v/>
      </c>
      <c r="F39" s="198" t="str">
        <f>IF($C$2=0,"",IF(ISERROR(VLOOKUP($C$2&amp;"-"&amp;$B39,'BD Seq Op'!$C:$H,5,FALSE)),"",VLOOKUP($C$2&amp;"-"&amp;$B39,'BD Seq Op'!$C:$H,5,FALSE)))</f>
        <v/>
      </c>
      <c r="G39" s="36"/>
      <c r="H39" s="36"/>
      <c r="I39" s="36"/>
      <c r="J39" s="36"/>
      <c r="K39" s="36"/>
      <c r="L39" s="36"/>
      <c r="M39" s="36"/>
      <c r="O39" s="36"/>
      <c r="P39" s="36"/>
      <c r="Q39" s="36"/>
      <c r="R39" s="36"/>
      <c r="S39" s="36"/>
      <c r="T39" s="36"/>
      <c r="U39" s="36"/>
      <c r="V39" s="36"/>
      <c r="W39" s="36"/>
      <c r="X39" s="36"/>
    </row>
    <row r="40" spans="1:24" ht="18" customHeight="1" x14ac:dyDescent="0.25">
      <c r="A40" s="32" t="str">
        <f t="shared" si="0"/>
        <v>Não</v>
      </c>
      <c r="B40" s="90">
        <v>35</v>
      </c>
      <c r="C40" s="196" t="str">
        <f>IF($C$2=0,"",IF(ISERROR(VLOOKUP($C$2&amp;"-"&amp;$B40,'BD Seq Op'!$C:$H,2,FALSE)),"",VLOOKUP($C$2&amp;"-"&amp;$B40,'BD Seq Op'!$C:$H,2,FALSE)))</f>
        <v/>
      </c>
      <c r="D40" s="197" t="str">
        <f>IF($C$2=0,"",IF(ISERROR(VLOOKUP($C$2&amp;"-"&amp;$B40,'BD Seq Op'!$C:$H,3,FALSE)),"",VLOOKUP($C$2&amp;"-"&amp;$B40,'BD Seq Op'!$C:$H,3,FALSE)))</f>
        <v/>
      </c>
      <c r="E40" s="197" t="str">
        <f>IF($C$2=0,"",IF(ISERROR(VLOOKUP($C$2&amp;"-"&amp;$B40,'BD Seq Op'!$C:$H,4,FALSE)),"",VLOOKUP($C$2&amp;"-"&amp;$B40,'BD Seq Op'!$C:$H,4,FALSE)))</f>
        <v/>
      </c>
      <c r="F40" s="198" t="str">
        <f>IF($C$2=0,"",IF(ISERROR(VLOOKUP($C$2&amp;"-"&amp;$B40,'BD Seq Op'!$C:$H,5,FALSE)),"",VLOOKUP($C$2&amp;"-"&amp;$B40,'BD Seq Op'!$C:$H,5,FALSE)))</f>
        <v/>
      </c>
      <c r="G40" s="36"/>
      <c r="H40" s="36"/>
      <c r="I40" s="36"/>
      <c r="J40" s="36"/>
      <c r="K40" s="36"/>
      <c r="L40" s="36"/>
      <c r="M40" s="36"/>
      <c r="O40" s="36"/>
      <c r="P40" s="36"/>
      <c r="Q40" s="36"/>
      <c r="R40" s="36"/>
      <c r="S40" s="36"/>
      <c r="T40" s="36"/>
      <c r="U40" s="36"/>
      <c r="V40" s="36"/>
      <c r="W40" s="36"/>
      <c r="X40" s="36"/>
    </row>
    <row r="41" spans="1:24" ht="18" customHeight="1" x14ac:dyDescent="0.25">
      <c r="A41" s="32" t="str">
        <f t="shared" si="0"/>
        <v>Não</v>
      </c>
      <c r="B41" s="91">
        <v>36</v>
      </c>
      <c r="C41" s="196" t="str">
        <f>IF($C$2=0,"",IF(ISERROR(VLOOKUP($C$2&amp;"-"&amp;$B41,'BD Seq Op'!$C:$H,2,FALSE)),"",VLOOKUP($C$2&amp;"-"&amp;$B41,'BD Seq Op'!$C:$H,2,FALSE)))</f>
        <v/>
      </c>
      <c r="D41" s="197" t="str">
        <f>IF($C$2=0,"",IF(ISERROR(VLOOKUP($C$2&amp;"-"&amp;$B41,'BD Seq Op'!$C:$H,3,FALSE)),"",VLOOKUP($C$2&amp;"-"&amp;$B41,'BD Seq Op'!$C:$H,3,FALSE)))</f>
        <v/>
      </c>
      <c r="E41" s="197" t="str">
        <f>IF($C$2=0,"",IF(ISERROR(VLOOKUP($C$2&amp;"-"&amp;$B41,'BD Seq Op'!$C:$H,4,FALSE)),"",VLOOKUP($C$2&amp;"-"&amp;$B41,'BD Seq Op'!$C:$H,4,FALSE)))</f>
        <v/>
      </c>
      <c r="F41" s="198" t="str">
        <f>IF($C$2=0,"",IF(ISERROR(VLOOKUP($C$2&amp;"-"&amp;$B41,'BD Seq Op'!$C:$H,5,FALSE)),"",VLOOKUP($C$2&amp;"-"&amp;$B41,'BD Seq Op'!$C:$H,5,FALSE)))</f>
        <v/>
      </c>
      <c r="G41" s="36"/>
      <c r="H41" s="36"/>
      <c r="I41" s="36"/>
      <c r="J41" s="36"/>
      <c r="K41" s="36"/>
      <c r="L41" s="36"/>
      <c r="M41" s="36"/>
      <c r="O41" s="36"/>
      <c r="P41" s="36"/>
      <c r="Q41" s="36"/>
      <c r="R41" s="36"/>
      <c r="S41" s="36"/>
      <c r="T41" s="36"/>
      <c r="U41" s="36"/>
      <c r="V41" s="36"/>
      <c r="W41" s="36"/>
      <c r="X41" s="36"/>
    </row>
    <row r="42" spans="1:24" ht="18" customHeight="1" x14ac:dyDescent="0.25">
      <c r="A42" s="32" t="str">
        <f t="shared" si="0"/>
        <v>Não</v>
      </c>
      <c r="B42" s="90">
        <v>37</v>
      </c>
      <c r="C42" s="196" t="str">
        <f>IF($C$2=0,"",IF(ISERROR(VLOOKUP($C$2&amp;"-"&amp;$B42,'BD Seq Op'!$C:$H,2,FALSE)),"",VLOOKUP($C$2&amp;"-"&amp;$B42,'BD Seq Op'!$C:$H,2,FALSE)))</f>
        <v/>
      </c>
      <c r="D42" s="197" t="str">
        <f>IF($C$2=0,"",IF(ISERROR(VLOOKUP($C$2&amp;"-"&amp;$B42,'BD Seq Op'!$C:$H,3,FALSE)),"",VLOOKUP($C$2&amp;"-"&amp;$B42,'BD Seq Op'!$C:$H,3,FALSE)))</f>
        <v/>
      </c>
      <c r="E42" s="197" t="str">
        <f>IF($C$2=0,"",IF(ISERROR(VLOOKUP($C$2&amp;"-"&amp;$B42,'BD Seq Op'!$C:$H,4,FALSE)),"",VLOOKUP($C$2&amp;"-"&amp;$B42,'BD Seq Op'!$C:$H,4,FALSE)))</f>
        <v/>
      </c>
      <c r="F42" s="198" t="str">
        <f>IF($C$2=0,"",IF(ISERROR(VLOOKUP($C$2&amp;"-"&amp;$B42,'BD Seq Op'!$C:$H,5,FALSE)),"",VLOOKUP($C$2&amp;"-"&amp;$B42,'BD Seq Op'!$C:$H,5,FALSE)))</f>
        <v/>
      </c>
      <c r="G42" s="36"/>
      <c r="H42" s="36"/>
      <c r="I42" s="36"/>
      <c r="J42" s="36"/>
      <c r="K42" s="36"/>
      <c r="L42" s="36"/>
      <c r="M42" s="36"/>
      <c r="O42" s="36"/>
      <c r="P42" s="36"/>
      <c r="Q42" s="36"/>
      <c r="R42" s="36"/>
      <c r="S42" s="36"/>
      <c r="T42" s="36"/>
      <c r="U42" s="36"/>
      <c r="V42" s="36"/>
      <c r="W42" s="36"/>
      <c r="X42" s="36"/>
    </row>
    <row r="43" spans="1:24" ht="18" customHeight="1" x14ac:dyDescent="0.25">
      <c r="A43" s="32" t="str">
        <f t="shared" si="0"/>
        <v>Não</v>
      </c>
      <c r="B43" s="91">
        <v>38</v>
      </c>
      <c r="C43" s="196" t="str">
        <f>IF($C$2=0,"",IF(ISERROR(VLOOKUP($C$2&amp;"-"&amp;$B43,'BD Seq Op'!$C:$H,2,FALSE)),"",VLOOKUP($C$2&amp;"-"&amp;$B43,'BD Seq Op'!$C:$H,2,FALSE)))</f>
        <v/>
      </c>
      <c r="D43" s="197" t="str">
        <f>IF($C$2=0,"",IF(ISERROR(VLOOKUP($C$2&amp;"-"&amp;$B43,'BD Seq Op'!$C:$H,3,FALSE)),"",VLOOKUP($C$2&amp;"-"&amp;$B43,'BD Seq Op'!$C:$H,3,FALSE)))</f>
        <v/>
      </c>
      <c r="E43" s="197" t="str">
        <f>IF($C$2=0,"",IF(ISERROR(VLOOKUP($C$2&amp;"-"&amp;$B43,'BD Seq Op'!$C:$H,4,FALSE)),"",VLOOKUP($C$2&amp;"-"&amp;$B43,'BD Seq Op'!$C:$H,4,FALSE)))</f>
        <v/>
      </c>
      <c r="F43" s="198" t="str">
        <f>IF($C$2=0,"",IF(ISERROR(VLOOKUP($C$2&amp;"-"&amp;$B43,'BD Seq Op'!$C:$H,5,FALSE)),"",VLOOKUP($C$2&amp;"-"&amp;$B43,'BD Seq Op'!$C:$H,5,FALSE)))</f>
        <v/>
      </c>
      <c r="G43" s="36"/>
      <c r="H43" s="36"/>
      <c r="I43" s="36"/>
      <c r="J43" s="36"/>
      <c r="K43" s="36"/>
      <c r="L43" s="36"/>
      <c r="M43" s="36"/>
      <c r="O43" s="36"/>
      <c r="P43" s="36"/>
      <c r="Q43" s="36"/>
      <c r="R43" s="36"/>
      <c r="S43" s="36"/>
      <c r="T43" s="36"/>
      <c r="U43" s="36"/>
      <c r="V43" s="36"/>
      <c r="W43" s="36"/>
      <c r="X43" s="36"/>
    </row>
    <row r="44" spans="1:24" ht="18" customHeight="1" x14ac:dyDescent="0.25">
      <c r="A44" s="32" t="str">
        <f t="shared" si="0"/>
        <v>Não</v>
      </c>
      <c r="B44" s="90">
        <v>39</v>
      </c>
      <c r="C44" s="196" t="str">
        <f>IF($C$2=0,"",IF(ISERROR(VLOOKUP($C$2&amp;"-"&amp;$B44,'BD Seq Op'!$C:$H,2,FALSE)),"",VLOOKUP($C$2&amp;"-"&amp;$B44,'BD Seq Op'!$C:$H,2,FALSE)))</f>
        <v/>
      </c>
      <c r="D44" s="197" t="str">
        <f>IF($C$2=0,"",IF(ISERROR(VLOOKUP($C$2&amp;"-"&amp;$B44,'BD Seq Op'!$C:$H,3,FALSE)),"",VLOOKUP($C$2&amp;"-"&amp;$B44,'BD Seq Op'!$C:$H,3,FALSE)))</f>
        <v/>
      </c>
      <c r="E44" s="197" t="str">
        <f>IF($C$2=0,"",IF(ISERROR(VLOOKUP($C$2&amp;"-"&amp;$B44,'BD Seq Op'!$C:$H,4,FALSE)),"",VLOOKUP($C$2&amp;"-"&amp;$B44,'BD Seq Op'!$C:$H,4,FALSE)))</f>
        <v/>
      </c>
      <c r="F44" s="198" t="str">
        <f>IF($C$2=0,"",IF(ISERROR(VLOOKUP($C$2&amp;"-"&amp;$B44,'BD Seq Op'!$C:$H,5,FALSE)),"",VLOOKUP($C$2&amp;"-"&amp;$B44,'BD Seq Op'!$C:$H,5,FALSE)))</f>
        <v/>
      </c>
      <c r="G44" s="36"/>
      <c r="H44" s="36"/>
      <c r="I44" s="36"/>
      <c r="J44" s="36"/>
      <c r="K44" s="36"/>
      <c r="L44" s="36"/>
      <c r="M44" s="36"/>
      <c r="O44" s="36"/>
      <c r="P44" s="36"/>
      <c r="Q44" s="36"/>
      <c r="R44" s="36"/>
      <c r="S44" s="36"/>
      <c r="T44" s="36"/>
      <c r="U44" s="36"/>
      <c r="V44" s="36"/>
      <c r="W44" s="36"/>
      <c r="X44" s="36"/>
    </row>
    <row r="45" spans="1:24" ht="18" customHeight="1" x14ac:dyDescent="0.25">
      <c r="A45" s="32" t="str">
        <f t="shared" si="0"/>
        <v>Não</v>
      </c>
      <c r="B45" s="91">
        <v>40</v>
      </c>
      <c r="C45" s="196" t="str">
        <f>IF($C$2=0,"",IF(ISERROR(VLOOKUP($C$2&amp;"-"&amp;$B45,'BD Seq Op'!$C:$H,2,FALSE)),"",VLOOKUP($C$2&amp;"-"&amp;$B45,'BD Seq Op'!$C:$H,2,FALSE)))</f>
        <v/>
      </c>
      <c r="D45" s="197" t="str">
        <f>IF($C$2=0,"",IF(ISERROR(VLOOKUP($C$2&amp;"-"&amp;$B45,'BD Seq Op'!$C:$H,3,FALSE)),"",VLOOKUP($C$2&amp;"-"&amp;$B45,'BD Seq Op'!$C:$H,3,FALSE)))</f>
        <v/>
      </c>
      <c r="E45" s="197" t="str">
        <f>IF($C$2=0,"",IF(ISERROR(VLOOKUP($C$2&amp;"-"&amp;$B45,'BD Seq Op'!$C:$H,4,FALSE)),"",VLOOKUP($C$2&amp;"-"&amp;$B45,'BD Seq Op'!$C:$H,4,FALSE)))</f>
        <v/>
      </c>
      <c r="F45" s="198" t="str">
        <f>IF($C$2=0,"",IF(ISERROR(VLOOKUP($C$2&amp;"-"&amp;$B45,'BD Seq Op'!$C:$H,5,FALSE)),"",VLOOKUP($C$2&amp;"-"&amp;$B45,'BD Seq Op'!$C:$H,5,FALSE)))</f>
        <v/>
      </c>
      <c r="G45" s="36"/>
      <c r="H45" s="36"/>
      <c r="I45" s="36"/>
      <c r="J45" s="36"/>
      <c r="K45" s="36"/>
      <c r="L45" s="36"/>
      <c r="M45" s="36"/>
      <c r="O45" s="36"/>
      <c r="P45" s="36"/>
      <c r="Q45" s="36"/>
      <c r="R45" s="36"/>
      <c r="S45" s="36"/>
      <c r="T45" s="36"/>
      <c r="U45" s="36"/>
      <c r="V45" s="36"/>
      <c r="W45" s="36"/>
      <c r="X45" s="36"/>
    </row>
    <row r="46" spans="1:24" ht="18" customHeight="1" x14ac:dyDescent="0.25">
      <c r="A46" s="32" t="str">
        <f t="shared" si="0"/>
        <v>Não</v>
      </c>
      <c r="B46" s="90">
        <v>41</v>
      </c>
      <c r="C46" s="196" t="str">
        <f>IF($C$2=0,"",IF(ISERROR(VLOOKUP($C$2&amp;"-"&amp;$B46,'BD Seq Op'!$C:$H,2,FALSE)),"",VLOOKUP($C$2&amp;"-"&amp;$B46,'BD Seq Op'!$C:$H,2,FALSE)))</f>
        <v/>
      </c>
      <c r="D46" s="197" t="str">
        <f>IF($C$2=0,"",IF(ISERROR(VLOOKUP($C$2&amp;"-"&amp;$B46,'BD Seq Op'!$C:$H,3,FALSE)),"",VLOOKUP($C$2&amp;"-"&amp;$B46,'BD Seq Op'!$C:$H,3,FALSE)))</f>
        <v/>
      </c>
      <c r="E46" s="197" t="str">
        <f>IF($C$2=0,"",IF(ISERROR(VLOOKUP($C$2&amp;"-"&amp;$B46,'BD Seq Op'!$C:$H,4,FALSE)),"",VLOOKUP($C$2&amp;"-"&amp;$B46,'BD Seq Op'!$C:$H,4,FALSE)))</f>
        <v/>
      </c>
      <c r="F46" s="198" t="str">
        <f>IF($C$2=0,"",IF(ISERROR(VLOOKUP($C$2&amp;"-"&amp;$B46,'BD Seq Op'!$C:$H,5,FALSE)),"",VLOOKUP($C$2&amp;"-"&amp;$B46,'BD Seq Op'!$C:$H,5,FALSE)))</f>
        <v/>
      </c>
      <c r="G46" s="36"/>
      <c r="H46" s="36"/>
      <c r="I46" s="36"/>
      <c r="J46" s="36"/>
      <c r="K46" s="36"/>
      <c r="L46" s="36"/>
      <c r="M46" s="36"/>
      <c r="O46" s="36"/>
      <c r="P46" s="36"/>
      <c r="Q46" s="36"/>
      <c r="R46" s="36"/>
      <c r="S46" s="36"/>
      <c r="T46" s="36"/>
      <c r="U46" s="36"/>
      <c r="V46" s="36"/>
      <c r="W46" s="36"/>
      <c r="X46" s="36"/>
    </row>
    <row r="47" spans="1:24" ht="18" customHeight="1" x14ac:dyDescent="0.25">
      <c r="A47" s="32" t="str">
        <f t="shared" si="0"/>
        <v>Não</v>
      </c>
      <c r="B47" s="91">
        <v>42</v>
      </c>
      <c r="C47" s="196" t="str">
        <f>IF($C$2=0,"",IF(ISERROR(VLOOKUP($C$2&amp;"-"&amp;$B47,'BD Seq Op'!$C:$H,2,FALSE)),"",VLOOKUP($C$2&amp;"-"&amp;$B47,'BD Seq Op'!$C:$H,2,FALSE)))</f>
        <v/>
      </c>
      <c r="D47" s="197" t="str">
        <f>IF($C$2=0,"",IF(ISERROR(VLOOKUP($C$2&amp;"-"&amp;$B47,'BD Seq Op'!$C:$H,3,FALSE)),"",VLOOKUP($C$2&amp;"-"&amp;$B47,'BD Seq Op'!$C:$H,3,FALSE)))</f>
        <v/>
      </c>
      <c r="E47" s="197" t="str">
        <f>IF($C$2=0,"",IF(ISERROR(VLOOKUP($C$2&amp;"-"&amp;$B47,'BD Seq Op'!$C:$H,4,FALSE)),"",VLOOKUP($C$2&amp;"-"&amp;$B47,'BD Seq Op'!$C:$H,4,FALSE)))</f>
        <v/>
      </c>
      <c r="F47" s="198" t="str">
        <f>IF($C$2=0,"",IF(ISERROR(VLOOKUP($C$2&amp;"-"&amp;$B47,'BD Seq Op'!$C:$H,5,FALSE)),"",VLOOKUP($C$2&amp;"-"&amp;$B47,'BD Seq Op'!$C:$H,5,FALSE)))</f>
        <v/>
      </c>
      <c r="G47" s="36"/>
      <c r="H47" s="36"/>
      <c r="I47" s="36"/>
      <c r="J47" s="36"/>
      <c r="K47" s="36"/>
      <c r="L47" s="36"/>
      <c r="M47" s="36"/>
      <c r="O47" s="36"/>
      <c r="P47" s="36"/>
      <c r="Q47" s="36"/>
      <c r="R47" s="36"/>
      <c r="S47" s="36"/>
      <c r="T47" s="36"/>
      <c r="U47" s="36"/>
      <c r="V47" s="36"/>
      <c r="W47" s="36"/>
      <c r="X47" s="36"/>
    </row>
    <row r="48" spans="1:24" ht="18" customHeight="1" x14ac:dyDescent="0.25">
      <c r="A48" s="32" t="str">
        <f t="shared" si="0"/>
        <v>Não</v>
      </c>
      <c r="B48" s="90">
        <v>43</v>
      </c>
      <c r="C48" s="196" t="str">
        <f>IF($C$2=0,"",IF(ISERROR(VLOOKUP($C$2&amp;"-"&amp;$B48,'BD Seq Op'!$C:$H,2,FALSE)),"",VLOOKUP($C$2&amp;"-"&amp;$B48,'BD Seq Op'!$C:$H,2,FALSE)))</f>
        <v/>
      </c>
      <c r="D48" s="197" t="str">
        <f>IF($C$2=0,"",IF(ISERROR(VLOOKUP($C$2&amp;"-"&amp;$B48,'BD Seq Op'!$C:$H,3,FALSE)),"",VLOOKUP($C$2&amp;"-"&amp;$B48,'BD Seq Op'!$C:$H,3,FALSE)))</f>
        <v/>
      </c>
      <c r="E48" s="197" t="str">
        <f>IF($C$2=0,"",IF(ISERROR(VLOOKUP($C$2&amp;"-"&amp;$B48,'BD Seq Op'!$C:$H,4,FALSE)),"",VLOOKUP($C$2&amp;"-"&amp;$B48,'BD Seq Op'!$C:$H,4,FALSE)))</f>
        <v/>
      </c>
      <c r="F48" s="198" t="str">
        <f>IF($C$2=0,"",IF(ISERROR(VLOOKUP($C$2&amp;"-"&amp;$B48,'BD Seq Op'!$C:$H,5,FALSE)),"",VLOOKUP($C$2&amp;"-"&amp;$B48,'BD Seq Op'!$C:$H,5,FALSE)))</f>
        <v/>
      </c>
      <c r="G48" s="36"/>
      <c r="H48" s="36"/>
      <c r="I48" s="36"/>
      <c r="J48" s="36"/>
      <c r="K48" s="36"/>
      <c r="L48" s="36"/>
      <c r="M48" s="36"/>
      <c r="O48" s="36"/>
      <c r="P48" s="36"/>
      <c r="Q48" s="36"/>
      <c r="R48" s="36"/>
      <c r="S48" s="36"/>
      <c r="T48" s="36"/>
      <c r="U48" s="36"/>
      <c r="V48" s="36"/>
      <c r="W48" s="36"/>
      <c r="X48" s="36"/>
    </row>
    <row r="49" spans="1:24" ht="18" customHeight="1" x14ac:dyDescent="0.25">
      <c r="A49" s="32" t="str">
        <f t="shared" si="0"/>
        <v>Não</v>
      </c>
      <c r="B49" s="91">
        <v>44</v>
      </c>
      <c r="C49" s="196" t="str">
        <f>IF($C$2=0,"",IF(ISERROR(VLOOKUP($C$2&amp;"-"&amp;$B49,'BD Seq Op'!$C:$H,2,FALSE)),"",VLOOKUP($C$2&amp;"-"&amp;$B49,'BD Seq Op'!$C:$H,2,FALSE)))</f>
        <v/>
      </c>
      <c r="D49" s="197" t="str">
        <f>IF($C$2=0,"",IF(ISERROR(VLOOKUP($C$2&amp;"-"&amp;$B49,'BD Seq Op'!$C:$H,3,FALSE)),"",VLOOKUP($C$2&amp;"-"&amp;$B49,'BD Seq Op'!$C:$H,3,FALSE)))</f>
        <v/>
      </c>
      <c r="E49" s="197" t="str">
        <f>IF($C$2=0,"",IF(ISERROR(VLOOKUP($C$2&amp;"-"&amp;$B49,'BD Seq Op'!$C:$H,4,FALSE)),"",VLOOKUP($C$2&amp;"-"&amp;$B49,'BD Seq Op'!$C:$H,4,FALSE)))</f>
        <v/>
      </c>
      <c r="F49" s="198" t="str">
        <f>IF($C$2=0,"",IF(ISERROR(VLOOKUP($C$2&amp;"-"&amp;$B49,'BD Seq Op'!$C:$H,5,FALSE)),"",VLOOKUP($C$2&amp;"-"&amp;$B49,'BD Seq Op'!$C:$H,5,FALSE)))</f>
        <v/>
      </c>
      <c r="G49" s="36"/>
      <c r="H49" s="36"/>
      <c r="I49" s="36"/>
      <c r="J49" s="36"/>
      <c r="K49" s="36"/>
      <c r="L49" s="36"/>
      <c r="M49" s="36"/>
      <c r="O49" s="36"/>
      <c r="P49" s="36"/>
      <c r="Q49" s="36"/>
      <c r="R49" s="36"/>
      <c r="S49" s="36"/>
      <c r="T49" s="36"/>
      <c r="U49" s="36"/>
      <c r="V49" s="36"/>
      <c r="W49" s="36"/>
      <c r="X49" s="36"/>
    </row>
    <row r="50" spans="1:24" ht="18" customHeight="1" x14ac:dyDescent="0.25">
      <c r="A50" s="32" t="str">
        <f t="shared" si="0"/>
        <v>Não</v>
      </c>
      <c r="B50" s="90">
        <v>45</v>
      </c>
      <c r="C50" s="196" t="str">
        <f>IF($C$2=0,"",IF(ISERROR(VLOOKUP($C$2&amp;"-"&amp;$B50,'BD Seq Op'!$C:$H,2,FALSE)),"",VLOOKUP($C$2&amp;"-"&amp;$B50,'BD Seq Op'!$C:$H,2,FALSE)))</f>
        <v/>
      </c>
      <c r="D50" s="197" t="str">
        <f>IF($C$2=0,"",IF(ISERROR(VLOOKUP($C$2&amp;"-"&amp;$B50,'BD Seq Op'!$C:$H,3,FALSE)),"",VLOOKUP($C$2&amp;"-"&amp;$B50,'BD Seq Op'!$C:$H,3,FALSE)))</f>
        <v/>
      </c>
      <c r="E50" s="197" t="str">
        <f>IF($C$2=0,"",IF(ISERROR(VLOOKUP($C$2&amp;"-"&amp;$B50,'BD Seq Op'!$C:$H,4,FALSE)),"",VLOOKUP($C$2&amp;"-"&amp;$B50,'BD Seq Op'!$C:$H,4,FALSE)))</f>
        <v/>
      </c>
      <c r="F50" s="198" t="str">
        <f>IF($C$2=0,"",IF(ISERROR(VLOOKUP($C$2&amp;"-"&amp;$B50,'BD Seq Op'!$C:$H,5,FALSE)),"",VLOOKUP($C$2&amp;"-"&amp;$B50,'BD Seq Op'!$C:$H,5,FALSE)))</f>
        <v/>
      </c>
      <c r="G50" s="36"/>
      <c r="H50" s="36"/>
      <c r="I50" s="36"/>
      <c r="J50" s="36"/>
      <c r="K50" s="36"/>
      <c r="L50" s="36"/>
      <c r="M50" s="36"/>
      <c r="O50" s="36"/>
      <c r="P50" s="36"/>
      <c r="Q50" s="36"/>
      <c r="R50" s="36"/>
      <c r="S50" s="36"/>
      <c r="T50" s="36"/>
      <c r="U50" s="36"/>
      <c r="V50" s="36"/>
      <c r="W50" s="36"/>
      <c r="X50" s="36"/>
    </row>
    <row r="51" spans="1:24" ht="18" customHeight="1" x14ac:dyDescent="0.25">
      <c r="A51" s="32" t="str">
        <f t="shared" si="0"/>
        <v>Não</v>
      </c>
      <c r="B51" s="91">
        <v>46</v>
      </c>
      <c r="C51" s="196" t="str">
        <f>IF($C$2=0,"",IF(ISERROR(VLOOKUP($C$2&amp;"-"&amp;$B51,'BD Seq Op'!$C:$H,2,FALSE)),"",VLOOKUP($C$2&amp;"-"&amp;$B51,'BD Seq Op'!$C:$H,2,FALSE)))</f>
        <v/>
      </c>
      <c r="D51" s="197" t="str">
        <f>IF($C$2=0,"",IF(ISERROR(VLOOKUP($C$2&amp;"-"&amp;$B51,'BD Seq Op'!$C:$H,3,FALSE)),"",VLOOKUP($C$2&amp;"-"&amp;$B51,'BD Seq Op'!$C:$H,3,FALSE)))</f>
        <v/>
      </c>
      <c r="E51" s="197" t="str">
        <f>IF($C$2=0,"",IF(ISERROR(VLOOKUP($C$2&amp;"-"&amp;$B51,'BD Seq Op'!$C:$H,4,FALSE)),"",VLOOKUP($C$2&amp;"-"&amp;$B51,'BD Seq Op'!$C:$H,4,FALSE)))</f>
        <v/>
      </c>
      <c r="F51" s="198" t="str">
        <f>IF($C$2=0,"",IF(ISERROR(VLOOKUP($C$2&amp;"-"&amp;$B51,'BD Seq Op'!$C:$H,5,FALSE)),"",VLOOKUP($C$2&amp;"-"&amp;$B51,'BD Seq Op'!$C:$H,5,FALSE)))</f>
        <v/>
      </c>
      <c r="G51" s="36"/>
      <c r="H51" s="36"/>
      <c r="I51" s="36"/>
      <c r="J51" s="36"/>
      <c r="K51" s="36"/>
      <c r="L51" s="36"/>
      <c r="M51" s="36"/>
      <c r="O51" s="36"/>
      <c r="P51" s="36"/>
      <c r="Q51" s="36"/>
      <c r="R51" s="36"/>
      <c r="S51" s="36"/>
      <c r="T51" s="36"/>
      <c r="U51" s="36"/>
      <c r="V51" s="36"/>
      <c r="W51" s="36"/>
      <c r="X51" s="36"/>
    </row>
    <row r="52" spans="1:24" ht="18" customHeight="1" x14ac:dyDescent="0.25">
      <c r="A52" s="32" t="str">
        <f t="shared" si="0"/>
        <v>Não</v>
      </c>
      <c r="B52" s="90">
        <v>47</v>
      </c>
      <c r="C52" s="196" t="str">
        <f>IF($C$2=0,"",IF(ISERROR(VLOOKUP($C$2&amp;"-"&amp;$B52,'BD Seq Op'!$C:$H,2,FALSE)),"",VLOOKUP($C$2&amp;"-"&amp;$B52,'BD Seq Op'!$C:$H,2,FALSE)))</f>
        <v/>
      </c>
      <c r="D52" s="197" t="str">
        <f>IF($C$2=0,"",IF(ISERROR(VLOOKUP($C$2&amp;"-"&amp;$B52,'BD Seq Op'!$C:$H,3,FALSE)),"",VLOOKUP($C$2&amp;"-"&amp;$B52,'BD Seq Op'!$C:$H,3,FALSE)))</f>
        <v/>
      </c>
      <c r="E52" s="197" t="str">
        <f>IF($C$2=0,"",IF(ISERROR(VLOOKUP($C$2&amp;"-"&amp;$B52,'BD Seq Op'!$C:$H,4,FALSE)),"",VLOOKUP($C$2&amp;"-"&amp;$B52,'BD Seq Op'!$C:$H,4,FALSE)))</f>
        <v/>
      </c>
      <c r="F52" s="198" t="str">
        <f>IF($C$2=0,"",IF(ISERROR(VLOOKUP($C$2&amp;"-"&amp;$B52,'BD Seq Op'!$C:$H,5,FALSE)),"",VLOOKUP($C$2&amp;"-"&amp;$B52,'BD Seq Op'!$C:$H,5,FALSE)))</f>
        <v/>
      </c>
      <c r="G52" s="36"/>
      <c r="H52" s="36"/>
      <c r="I52" s="36"/>
      <c r="J52" s="36"/>
      <c r="K52" s="36"/>
      <c r="L52" s="36"/>
      <c r="M52" s="36"/>
      <c r="O52" s="36"/>
      <c r="P52" s="36"/>
      <c r="Q52" s="36"/>
      <c r="R52" s="36"/>
      <c r="S52" s="36"/>
      <c r="T52" s="36"/>
      <c r="U52" s="36"/>
      <c r="V52" s="36"/>
      <c r="W52" s="36"/>
      <c r="X52" s="36"/>
    </row>
    <row r="53" spans="1:24" ht="18" customHeight="1" x14ac:dyDescent="0.25">
      <c r="A53" s="32" t="str">
        <f t="shared" si="0"/>
        <v>Não</v>
      </c>
      <c r="B53" s="91">
        <v>48</v>
      </c>
      <c r="C53" s="196" t="str">
        <f>IF($C$2=0,"",IF(ISERROR(VLOOKUP($C$2&amp;"-"&amp;$B53,'BD Seq Op'!$C:$H,2,FALSE)),"",VLOOKUP($C$2&amp;"-"&amp;$B53,'BD Seq Op'!$C:$H,2,FALSE)))</f>
        <v/>
      </c>
      <c r="D53" s="197" t="str">
        <f>IF($C$2=0,"",IF(ISERROR(VLOOKUP($C$2&amp;"-"&amp;$B53,'BD Seq Op'!$C:$H,3,FALSE)),"",VLOOKUP($C$2&amp;"-"&amp;$B53,'BD Seq Op'!$C:$H,3,FALSE)))</f>
        <v/>
      </c>
      <c r="E53" s="197" t="str">
        <f>IF($C$2=0,"",IF(ISERROR(VLOOKUP($C$2&amp;"-"&amp;$B53,'BD Seq Op'!$C:$H,4,FALSE)),"",VLOOKUP($C$2&amp;"-"&amp;$B53,'BD Seq Op'!$C:$H,4,FALSE)))</f>
        <v/>
      </c>
      <c r="F53" s="198" t="str">
        <f>IF($C$2=0,"",IF(ISERROR(VLOOKUP($C$2&amp;"-"&amp;$B53,'BD Seq Op'!$C:$H,5,FALSE)),"",VLOOKUP($C$2&amp;"-"&amp;$B53,'BD Seq Op'!$C:$H,5,FALSE)))</f>
        <v/>
      </c>
      <c r="G53" s="36"/>
      <c r="H53" s="36"/>
      <c r="I53" s="36"/>
      <c r="J53" s="36"/>
      <c r="K53" s="36"/>
      <c r="L53" s="36"/>
      <c r="M53" s="36"/>
      <c r="O53" s="36"/>
      <c r="P53" s="36"/>
      <c r="Q53" s="36"/>
      <c r="R53" s="36"/>
      <c r="S53" s="36"/>
      <c r="T53" s="36"/>
      <c r="U53" s="36"/>
      <c r="V53" s="36"/>
      <c r="W53" s="36"/>
      <c r="X53" s="36"/>
    </row>
    <row r="54" spans="1:24" ht="18" customHeight="1" x14ac:dyDescent="0.25">
      <c r="A54" s="32" t="str">
        <f t="shared" si="0"/>
        <v>Não</v>
      </c>
      <c r="B54" s="90">
        <v>49</v>
      </c>
      <c r="C54" s="196" t="str">
        <f>IF($C$2=0,"",IF(ISERROR(VLOOKUP($C$2&amp;"-"&amp;$B54,'BD Seq Op'!$C:$H,2,FALSE)),"",VLOOKUP($C$2&amp;"-"&amp;$B54,'BD Seq Op'!$C:$H,2,FALSE)))</f>
        <v/>
      </c>
      <c r="D54" s="197" t="str">
        <f>IF($C$2=0,"",IF(ISERROR(VLOOKUP($C$2&amp;"-"&amp;$B54,'BD Seq Op'!$C:$H,3,FALSE)),"",VLOOKUP($C$2&amp;"-"&amp;$B54,'BD Seq Op'!$C:$H,3,FALSE)))</f>
        <v/>
      </c>
      <c r="E54" s="197" t="str">
        <f>IF($C$2=0,"",IF(ISERROR(VLOOKUP($C$2&amp;"-"&amp;$B54,'BD Seq Op'!$C:$H,4,FALSE)),"",VLOOKUP($C$2&amp;"-"&amp;$B54,'BD Seq Op'!$C:$H,4,FALSE)))</f>
        <v/>
      </c>
      <c r="F54" s="198" t="str">
        <f>IF($C$2=0,"",IF(ISERROR(VLOOKUP($C$2&amp;"-"&amp;$B54,'BD Seq Op'!$C:$H,5,FALSE)),"",VLOOKUP($C$2&amp;"-"&amp;$B54,'BD Seq Op'!$C:$H,5,FALSE)))</f>
        <v/>
      </c>
      <c r="G54" s="36"/>
      <c r="H54" s="36"/>
      <c r="I54" s="36"/>
      <c r="J54" s="36"/>
      <c r="K54" s="36"/>
      <c r="L54" s="36"/>
      <c r="M54" s="36"/>
      <c r="O54" s="36"/>
      <c r="P54" s="36"/>
      <c r="Q54" s="36"/>
      <c r="R54" s="36"/>
      <c r="S54" s="36"/>
      <c r="T54" s="36"/>
      <c r="U54" s="36"/>
      <c r="V54" s="36"/>
      <c r="W54" s="36"/>
      <c r="X54" s="36"/>
    </row>
    <row r="55" spans="1:24" ht="18" customHeight="1" x14ac:dyDescent="0.25">
      <c r="A55" s="32" t="str">
        <f t="shared" si="0"/>
        <v>Não</v>
      </c>
      <c r="B55" s="91">
        <v>50</v>
      </c>
      <c r="C55" s="196" t="str">
        <f>IF($C$2=0,"",IF(ISERROR(VLOOKUP($C$2&amp;"-"&amp;$B55,'BD Seq Op'!$C:$H,2,FALSE)),"",VLOOKUP($C$2&amp;"-"&amp;$B55,'BD Seq Op'!$C:$H,2,FALSE)))</f>
        <v/>
      </c>
      <c r="D55" s="197" t="str">
        <f>IF($C$2=0,"",IF(ISERROR(VLOOKUP($C$2&amp;"-"&amp;$B55,'BD Seq Op'!$C:$H,3,FALSE)),"",VLOOKUP($C$2&amp;"-"&amp;$B55,'BD Seq Op'!$C:$H,3,FALSE)))</f>
        <v/>
      </c>
      <c r="E55" s="197" t="str">
        <f>IF($C$2=0,"",IF(ISERROR(VLOOKUP($C$2&amp;"-"&amp;$B55,'BD Seq Op'!$C:$H,4,FALSE)),"",VLOOKUP($C$2&amp;"-"&amp;$B55,'BD Seq Op'!$C:$H,4,FALSE)))</f>
        <v/>
      </c>
      <c r="F55" s="198" t="str">
        <f>IF($C$2=0,"",IF(ISERROR(VLOOKUP($C$2&amp;"-"&amp;$B55,'BD Seq Op'!$C:$H,5,FALSE)),"",VLOOKUP($C$2&amp;"-"&amp;$B55,'BD Seq Op'!$C:$H,5,FALSE)))</f>
        <v/>
      </c>
      <c r="G55" s="36"/>
      <c r="H55" s="36"/>
      <c r="I55" s="36"/>
      <c r="J55" s="36"/>
      <c r="K55" s="36"/>
      <c r="L55" s="36"/>
      <c r="M55" s="36"/>
      <c r="O55" s="36"/>
      <c r="P55" s="36"/>
      <c r="Q55" s="36"/>
      <c r="R55" s="36"/>
      <c r="S55" s="36"/>
      <c r="T55" s="36"/>
      <c r="U55" s="36"/>
      <c r="V55" s="36"/>
      <c r="W55" s="36"/>
      <c r="X55" s="36"/>
    </row>
    <row r="56" spans="1:24" ht="18" customHeight="1" x14ac:dyDescent="0.25">
      <c r="A56" s="32" t="str">
        <f t="shared" si="0"/>
        <v>Não</v>
      </c>
      <c r="B56" s="90">
        <v>51</v>
      </c>
      <c r="C56" s="196" t="str">
        <f>IF($C$2=0,"",IF(ISERROR(VLOOKUP($C$2&amp;"-"&amp;$B56,'BD Seq Op'!$C:$H,2,FALSE)),"",VLOOKUP($C$2&amp;"-"&amp;$B56,'BD Seq Op'!$C:$H,2,FALSE)))</f>
        <v/>
      </c>
      <c r="D56" s="197" t="str">
        <f>IF($C$2=0,"",IF(ISERROR(VLOOKUP($C$2&amp;"-"&amp;$B56,'BD Seq Op'!$C:$H,3,FALSE)),"",VLOOKUP($C$2&amp;"-"&amp;$B56,'BD Seq Op'!$C:$H,3,FALSE)))</f>
        <v/>
      </c>
      <c r="E56" s="197" t="str">
        <f>IF($C$2=0,"",IF(ISERROR(VLOOKUP($C$2&amp;"-"&amp;$B56,'BD Seq Op'!$C:$H,4,FALSE)),"",VLOOKUP($C$2&amp;"-"&amp;$B56,'BD Seq Op'!$C:$H,4,FALSE)))</f>
        <v/>
      </c>
      <c r="F56" s="198" t="str">
        <f>IF($C$2=0,"",IF(ISERROR(VLOOKUP($C$2&amp;"-"&amp;$B56,'BD Seq Op'!$C:$H,5,FALSE)),"",VLOOKUP($C$2&amp;"-"&amp;$B56,'BD Seq Op'!$C:$H,5,FALSE)))</f>
        <v/>
      </c>
      <c r="G56" s="36"/>
      <c r="H56" s="36"/>
      <c r="I56" s="36"/>
      <c r="J56" s="36"/>
      <c r="K56" s="36"/>
      <c r="L56" s="36"/>
      <c r="M56" s="36"/>
      <c r="O56" s="36"/>
      <c r="P56" s="36"/>
      <c r="Q56" s="36"/>
      <c r="R56" s="36"/>
      <c r="S56" s="36"/>
      <c r="T56" s="36"/>
      <c r="U56" s="36"/>
      <c r="V56" s="36"/>
      <c r="W56" s="36"/>
      <c r="X56" s="36"/>
    </row>
    <row r="57" spans="1:24" ht="18" customHeight="1" x14ac:dyDescent="0.25">
      <c r="A57" s="32" t="str">
        <f t="shared" si="0"/>
        <v>Não</v>
      </c>
      <c r="B57" s="91">
        <v>52</v>
      </c>
      <c r="C57" s="196" t="str">
        <f>IF($C$2=0,"",IF(ISERROR(VLOOKUP($C$2&amp;"-"&amp;$B57,'BD Seq Op'!$C:$H,2,FALSE)),"",VLOOKUP($C$2&amp;"-"&amp;$B57,'BD Seq Op'!$C:$H,2,FALSE)))</f>
        <v/>
      </c>
      <c r="D57" s="197" t="str">
        <f>IF($C$2=0,"",IF(ISERROR(VLOOKUP($C$2&amp;"-"&amp;$B57,'BD Seq Op'!$C:$H,3,FALSE)),"",VLOOKUP($C$2&amp;"-"&amp;$B57,'BD Seq Op'!$C:$H,3,FALSE)))</f>
        <v/>
      </c>
      <c r="E57" s="197" t="str">
        <f>IF($C$2=0,"",IF(ISERROR(VLOOKUP($C$2&amp;"-"&amp;$B57,'BD Seq Op'!$C:$H,4,FALSE)),"",VLOOKUP($C$2&amp;"-"&amp;$B57,'BD Seq Op'!$C:$H,4,FALSE)))</f>
        <v/>
      </c>
      <c r="F57" s="198" t="str">
        <f>IF($C$2=0,"",IF(ISERROR(VLOOKUP($C$2&amp;"-"&amp;$B57,'BD Seq Op'!$C:$H,5,FALSE)),"",VLOOKUP($C$2&amp;"-"&amp;$B57,'BD Seq Op'!$C:$H,5,FALSE)))</f>
        <v/>
      </c>
      <c r="G57" s="36"/>
      <c r="H57" s="36"/>
      <c r="I57" s="36"/>
      <c r="J57" s="36"/>
      <c r="K57" s="36"/>
      <c r="L57" s="36"/>
      <c r="M57" s="36"/>
      <c r="O57" s="36"/>
      <c r="P57" s="36"/>
      <c r="Q57" s="36"/>
      <c r="R57" s="36"/>
      <c r="S57" s="36"/>
      <c r="T57" s="36"/>
      <c r="U57" s="36"/>
      <c r="V57" s="36"/>
      <c r="W57" s="36"/>
      <c r="X57" s="36"/>
    </row>
    <row r="58" spans="1:24" ht="18" customHeight="1" x14ac:dyDescent="0.25">
      <c r="A58" s="32" t="str">
        <f t="shared" si="0"/>
        <v>Não</v>
      </c>
      <c r="B58" s="90">
        <v>53</v>
      </c>
      <c r="C58" s="196" t="str">
        <f>IF($C$2=0,"",IF(ISERROR(VLOOKUP($C$2&amp;"-"&amp;$B58,'BD Seq Op'!$C:$H,2,FALSE)),"",VLOOKUP($C$2&amp;"-"&amp;$B58,'BD Seq Op'!$C:$H,2,FALSE)))</f>
        <v/>
      </c>
      <c r="D58" s="197" t="str">
        <f>IF($C$2=0,"",IF(ISERROR(VLOOKUP($C$2&amp;"-"&amp;$B58,'BD Seq Op'!$C:$H,3,FALSE)),"",VLOOKUP($C$2&amp;"-"&amp;$B58,'BD Seq Op'!$C:$H,3,FALSE)))</f>
        <v/>
      </c>
      <c r="E58" s="197" t="str">
        <f>IF($C$2=0,"",IF(ISERROR(VLOOKUP($C$2&amp;"-"&amp;$B58,'BD Seq Op'!$C:$H,4,FALSE)),"",VLOOKUP($C$2&amp;"-"&amp;$B58,'BD Seq Op'!$C:$H,4,FALSE)))</f>
        <v/>
      </c>
      <c r="F58" s="198" t="str">
        <f>IF($C$2=0,"",IF(ISERROR(VLOOKUP($C$2&amp;"-"&amp;$B58,'BD Seq Op'!$C:$H,5,FALSE)),"",VLOOKUP($C$2&amp;"-"&amp;$B58,'BD Seq Op'!$C:$H,5,FALSE)))</f>
        <v/>
      </c>
      <c r="G58" s="36"/>
      <c r="H58" s="36"/>
      <c r="I58" s="36"/>
      <c r="J58" s="36"/>
      <c r="K58" s="36"/>
      <c r="L58" s="36"/>
      <c r="M58" s="36"/>
      <c r="O58" s="36"/>
      <c r="P58" s="36"/>
      <c r="Q58" s="36"/>
      <c r="R58" s="36"/>
      <c r="S58" s="36"/>
      <c r="T58" s="36"/>
      <c r="U58" s="36"/>
      <c r="V58" s="36"/>
      <c r="W58" s="36"/>
      <c r="X58" s="36"/>
    </row>
    <row r="59" spans="1:24" ht="18" customHeight="1" x14ac:dyDescent="0.25">
      <c r="A59" s="32" t="str">
        <f t="shared" si="0"/>
        <v>Não</v>
      </c>
      <c r="B59" s="91">
        <v>54</v>
      </c>
      <c r="C59" s="196" t="str">
        <f>IF($C$2=0,"",IF(ISERROR(VLOOKUP($C$2&amp;"-"&amp;$B59,'BD Seq Op'!$C:$H,2,FALSE)),"",VLOOKUP($C$2&amp;"-"&amp;$B59,'BD Seq Op'!$C:$H,2,FALSE)))</f>
        <v/>
      </c>
      <c r="D59" s="197" t="str">
        <f>IF($C$2=0,"",IF(ISERROR(VLOOKUP($C$2&amp;"-"&amp;$B59,'BD Seq Op'!$C:$H,3,FALSE)),"",VLOOKUP($C$2&amp;"-"&amp;$B59,'BD Seq Op'!$C:$H,3,FALSE)))</f>
        <v/>
      </c>
      <c r="E59" s="197" t="str">
        <f>IF($C$2=0,"",IF(ISERROR(VLOOKUP($C$2&amp;"-"&amp;$B59,'BD Seq Op'!$C:$H,4,FALSE)),"",VLOOKUP($C$2&amp;"-"&amp;$B59,'BD Seq Op'!$C:$H,4,FALSE)))</f>
        <v/>
      </c>
      <c r="F59" s="198" t="str">
        <f>IF($C$2=0,"",IF(ISERROR(VLOOKUP($C$2&amp;"-"&amp;$B59,'BD Seq Op'!$C:$H,5,FALSE)),"",VLOOKUP($C$2&amp;"-"&amp;$B59,'BD Seq Op'!$C:$H,5,FALSE)))</f>
        <v/>
      </c>
      <c r="G59" s="36"/>
      <c r="H59" s="36"/>
      <c r="I59" s="36"/>
      <c r="J59" s="36"/>
      <c r="K59" s="36"/>
      <c r="L59" s="36"/>
      <c r="M59" s="36"/>
      <c r="O59" s="36"/>
      <c r="P59" s="36"/>
      <c r="Q59" s="36"/>
      <c r="R59" s="36"/>
      <c r="S59" s="36"/>
      <c r="T59" s="36"/>
      <c r="U59" s="36"/>
      <c r="V59" s="36"/>
      <c r="W59" s="36"/>
      <c r="X59" s="36"/>
    </row>
    <row r="60" spans="1:24" ht="18" customHeight="1" x14ac:dyDescent="0.25">
      <c r="A60" s="32" t="str">
        <f t="shared" si="0"/>
        <v>Não</v>
      </c>
      <c r="B60" s="90">
        <v>55</v>
      </c>
      <c r="C60" s="196" t="str">
        <f>IF($C$2=0,"",IF(ISERROR(VLOOKUP($C$2&amp;"-"&amp;$B60,'BD Seq Op'!$C:$H,2,FALSE)),"",VLOOKUP($C$2&amp;"-"&amp;$B60,'BD Seq Op'!$C:$H,2,FALSE)))</f>
        <v/>
      </c>
      <c r="D60" s="197" t="str">
        <f>IF($C$2=0,"",IF(ISERROR(VLOOKUP($C$2&amp;"-"&amp;$B60,'BD Seq Op'!$C:$H,3,FALSE)),"",VLOOKUP($C$2&amp;"-"&amp;$B60,'BD Seq Op'!$C:$H,3,FALSE)))</f>
        <v/>
      </c>
      <c r="E60" s="197" t="str">
        <f>IF($C$2=0,"",IF(ISERROR(VLOOKUP($C$2&amp;"-"&amp;$B60,'BD Seq Op'!$C:$H,4,FALSE)),"",VLOOKUP($C$2&amp;"-"&amp;$B60,'BD Seq Op'!$C:$H,4,FALSE)))</f>
        <v/>
      </c>
      <c r="F60" s="198" t="str">
        <f>IF($C$2=0,"",IF(ISERROR(VLOOKUP($C$2&amp;"-"&amp;$B60,'BD Seq Op'!$C:$H,5,FALSE)),"",VLOOKUP($C$2&amp;"-"&amp;$B60,'BD Seq Op'!$C:$H,5,FALSE)))</f>
        <v/>
      </c>
      <c r="G60" s="36"/>
      <c r="H60" s="36"/>
      <c r="I60" s="36"/>
      <c r="J60" s="36"/>
      <c r="K60" s="36"/>
      <c r="L60" s="36"/>
      <c r="M60" s="36"/>
      <c r="O60" s="36"/>
      <c r="P60" s="36"/>
      <c r="Q60" s="36"/>
      <c r="R60" s="36"/>
      <c r="S60" s="36"/>
      <c r="T60" s="36"/>
      <c r="U60" s="36"/>
      <c r="V60" s="36"/>
      <c r="W60" s="36"/>
      <c r="X60" s="36"/>
    </row>
    <row r="61" spans="1:24" ht="18" customHeight="1" x14ac:dyDescent="0.25">
      <c r="A61" s="32" t="str">
        <f t="shared" si="0"/>
        <v>Não</v>
      </c>
      <c r="B61" s="91">
        <v>56</v>
      </c>
      <c r="C61" s="196" t="str">
        <f>IF($C$2=0,"",IF(ISERROR(VLOOKUP($C$2&amp;"-"&amp;$B61,'BD Seq Op'!$C:$H,2,FALSE)),"",VLOOKUP($C$2&amp;"-"&amp;$B61,'BD Seq Op'!$C:$H,2,FALSE)))</f>
        <v/>
      </c>
      <c r="D61" s="197" t="str">
        <f>IF($C$2=0,"",IF(ISERROR(VLOOKUP($C$2&amp;"-"&amp;$B61,'BD Seq Op'!$C:$H,3,FALSE)),"",VLOOKUP($C$2&amp;"-"&amp;$B61,'BD Seq Op'!$C:$H,3,FALSE)))</f>
        <v/>
      </c>
      <c r="E61" s="197" t="str">
        <f>IF($C$2=0,"",IF(ISERROR(VLOOKUP($C$2&amp;"-"&amp;$B61,'BD Seq Op'!$C:$H,4,FALSE)),"",VLOOKUP($C$2&amp;"-"&amp;$B61,'BD Seq Op'!$C:$H,4,FALSE)))</f>
        <v/>
      </c>
      <c r="F61" s="198" t="str">
        <f>IF($C$2=0,"",IF(ISERROR(VLOOKUP($C$2&amp;"-"&amp;$B61,'BD Seq Op'!$C:$H,5,FALSE)),"",VLOOKUP($C$2&amp;"-"&amp;$B61,'BD Seq Op'!$C:$H,5,FALSE)))</f>
        <v/>
      </c>
      <c r="G61" s="36"/>
      <c r="H61" s="36"/>
      <c r="I61" s="36"/>
      <c r="J61" s="36"/>
      <c r="K61" s="36"/>
      <c r="L61" s="36"/>
      <c r="M61" s="36"/>
      <c r="O61" s="36"/>
      <c r="P61" s="36"/>
      <c r="Q61" s="36"/>
      <c r="R61" s="36"/>
      <c r="S61" s="36"/>
      <c r="T61" s="36"/>
      <c r="U61" s="36"/>
      <c r="V61" s="36"/>
      <c r="W61" s="36"/>
      <c r="X61" s="36"/>
    </row>
    <row r="62" spans="1:24" ht="18" customHeight="1" x14ac:dyDescent="0.25">
      <c r="A62" s="32" t="str">
        <f t="shared" si="0"/>
        <v>Não</v>
      </c>
      <c r="B62" s="90">
        <v>57</v>
      </c>
      <c r="C62" s="196" t="str">
        <f>IF($C$2=0,"",IF(ISERROR(VLOOKUP($C$2&amp;"-"&amp;$B62,'BD Seq Op'!$C:$H,2,FALSE)),"",VLOOKUP($C$2&amp;"-"&amp;$B62,'BD Seq Op'!$C:$H,2,FALSE)))</f>
        <v/>
      </c>
      <c r="D62" s="197" t="str">
        <f>IF($C$2=0,"",IF(ISERROR(VLOOKUP($C$2&amp;"-"&amp;$B62,'BD Seq Op'!$C:$H,3,FALSE)),"",VLOOKUP($C$2&amp;"-"&amp;$B62,'BD Seq Op'!$C:$H,3,FALSE)))</f>
        <v/>
      </c>
      <c r="E62" s="197" t="str">
        <f>IF($C$2=0,"",IF(ISERROR(VLOOKUP($C$2&amp;"-"&amp;$B62,'BD Seq Op'!$C:$H,4,FALSE)),"",VLOOKUP($C$2&amp;"-"&amp;$B62,'BD Seq Op'!$C:$H,4,FALSE)))</f>
        <v/>
      </c>
      <c r="F62" s="198" t="str">
        <f>IF($C$2=0,"",IF(ISERROR(VLOOKUP($C$2&amp;"-"&amp;$B62,'BD Seq Op'!$C:$H,5,FALSE)),"",VLOOKUP($C$2&amp;"-"&amp;$B62,'BD Seq Op'!$C:$H,5,FALSE)))</f>
        <v/>
      </c>
      <c r="G62" s="36"/>
      <c r="H62" s="36"/>
      <c r="I62" s="36"/>
      <c r="J62" s="36"/>
      <c r="K62" s="36"/>
      <c r="L62" s="36"/>
      <c r="M62" s="36"/>
      <c r="O62" s="36"/>
      <c r="P62" s="36"/>
      <c r="Q62" s="36"/>
      <c r="R62" s="36"/>
      <c r="S62" s="36"/>
      <c r="T62" s="36"/>
      <c r="U62" s="36"/>
      <c r="V62" s="36"/>
      <c r="W62" s="36"/>
      <c r="X62" s="36"/>
    </row>
    <row r="63" spans="1:24" ht="18" customHeight="1" x14ac:dyDescent="0.25">
      <c r="A63" s="32" t="str">
        <f t="shared" si="0"/>
        <v>Não</v>
      </c>
      <c r="B63" s="91">
        <v>58</v>
      </c>
      <c r="C63" s="196" t="str">
        <f>IF($C$2=0,"",IF(ISERROR(VLOOKUP($C$2&amp;"-"&amp;$B63,'BD Seq Op'!$C:$H,2,FALSE)),"",VLOOKUP($C$2&amp;"-"&amp;$B63,'BD Seq Op'!$C:$H,2,FALSE)))</f>
        <v/>
      </c>
      <c r="D63" s="197" t="str">
        <f>IF($C$2=0,"",IF(ISERROR(VLOOKUP($C$2&amp;"-"&amp;$B63,'BD Seq Op'!$C:$H,3,FALSE)),"",VLOOKUP($C$2&amp;"-"&amp;$B63,'BD Seq Op'!$C:$H,3,FALSE)))</f>
        <v/>
      </c>
      <c r="E63" s="197" t="str">
        <f>IF($C$2=0,"",IF(ISERROR(VLOOKUP($C$2&amp;"-"&amp;$B63,'BD Seq Op'!$C:$H,4,FALSE)),"",VLOOKUP($C$2&amp;"-"&amp;$B63,'BD Seq Op'!$C:$H,4,FALSE)))</f>
        <v/>
      </c>
      <c r="F63" s="198" t="str">
        <f>IF($C$2=0,"",IF(ISERROR(VLOOKUP($C$2&amp;"-"&amp;$B63,'BD Seq Op'!$C:$H,5,FALSE)),"",VLOOKUP($C$2&amp;"-"&amp;$B63,'BD Seq Op'!$C:$H,5,FALSE)))</f>
        <v/>
      </c>
      <c r="G63" s="36"/>
      <c r="H63" s="36"/>
      <c r="I63" s="36"/>
      <c r="J63" s="36"/>
      <c r="K63" s="36"/>
      <c r="L63" s="36"/>
      <c r="M63" s="36"/>
      <c r="O63" s="36"/>
      <c r="P63" s="36"/>
      <c r="Q63" s="36"/>
      <c r="R63" s="36"/>
      <c r="S63" s="36"/>
      <c r="T63" s="36"/>
      <c r="U63" s="36"/>
      <c r="V63" s="36"/>
      <c r="W63" s="36"/>
      <c r="X63" s="36"/>
    </row>
    <row r="64" spans="1:24" ht="18" customHeight="1" x14ac:dyDescent="0.25">
      <c r="A64" s="32" t="str">
        <f t="shared" si="0"/>
        <v>Não</v>
      </c>
      <c r="B64" s="90">
        <v>59</v>
      </c>
      <c r="C64" s="196" t="str">
        <f>IF($C$2=0,"",IF(ISERROR(VLOOKUP($C$2&amp;"-"&amp;$B64,'BD Seq Op'!$C:$H,2,FALSE)),"",VLOOKUP($C$2&amp;"-"&amp;$B64,'BD Seq Op'!$C:$H,2,FALSE)))</f>
        <v/>
      </c>
      <c r="D64" s="197" t="str">
        <f>IF($C$2=0,"",IF(ISERROR(VLOOKUP($C$2&amp;"-"&amp;$B64,'BD Seq Op'!$C:$H,3,FALSE)),"",VLOOKUP($C$2&amp;"-"&amp;$B64,'BD Seq Op'!$C:$H,3,FALSE)))</f>
        <v/>
      </c>
      <c r="E64" s="197" t="str">
        <f>IF($C$2=0,"",IF(ISERROR(VLOOKUP($C$2&amp;"-"&amp;$B64,'BD Seq Op'!$C:$H,4,FALSE)),"",VLOOKUP($C$2&amp;"-"&amp;$B64,'BD Seq Op'!$C:$H,4,FALSE)))</f>
        <v/>
      </c>
      <c r="F64" s="198" t="str">
        <f>IF($C$2=0,"",IF(ISERROR(VLOOKUP($C$2&amp;"-"&amp;$B64,'BD Seq Op'!$C:$H,5,FALSE)),"",VLOOKUP($C$2&amp;"-"&amp;$B64,'BD Seq Op'!$C:$H,5,FALSE)))</f>
        <v/>
      </c>
      <c r="G64" s="36"/>
      <c r="H64" s="36"/>
      <c r="I64" s="36"/>
      <c r="J64" s="36"/>
      <c r="K64" s="36"/>
      <c r="L64" s="36"/>
      <c r="M64" s="36"/>
      <c r="O64" s="36"/>
      <c r="P64" s="36"/>
      <c r="Q64" s="36"/>
      <c r="R64" s="36"/>
      <c r="S64" s="36"/>
      <c r="T64" s="36"/>
      <c r="U64" s="36"/>
      <c r="V64" s="36"/>
      <c r="W64" s="36"/>
      <c r="X64" s="36"/>
    </row>
    <row r="65" spans="1:24" ht="18" customHeight="1" x14ac:dyDescent="0.25">
      <c r="A65" s="32" t="str">
        <f t="shared" si="0"/>
        <v>Não</v>
      </c>
      <c r="B65" s="91">
        <v>60</v>
      </c>
      <c r="C65" s="196" t="str">
        <f>IF($C$2=0,"",IF(ISERROR(VLOOKUP($C$2&amp;"-"&amp;$B65,'BD Seq Op'!$C:$H,2,FALSE)),"",VLOOKUP($C$2&amp;"-"&amp;$B65,'BD Seq Op'!$C:$H,2,FALSE)))</f>
        <v/>
      </c>
      <c r="D65" s="197" t="str">
        <f>IF($C$2=0,"",IF(ISERROR(VLOOKUP($C$2&amp;"-"&amp;$B65,'BD Seq Op'!$C:$H,3,FALSE)),"",VLOOKUP($C$2&amp;"-"&amp;$B65,'BD Seq Op'!$C:$H,3,FALSE)))</f>
        <v/>
      </c>
      <c r="E65" s="197" t="str">
        <f>IF($C$2=0,"",IF(ISERROR(VLOOKUP($C$2&amp;"-"&amp;$B65,'BD Seq Op'!$C:$H,4,FALSE)),"",VLOOKUP($C$2&amp;"-"&amp;$B65,'BD Seq Op'!$C:$H,4,FALSE)))</f>
        <v/>
      </c>
      <c r="F65" s="198" t="str">
        <f>IF($C$2=0,"",IF(ISERROR(VLOOKUP($C$2&amp;"-"&amp;$B65,'BD Seq Op'!$C:$H,5,FALSE)),"",VLOOKUP($C$2&amp;"-"&amp;$B65,'BD Seq Op'!$C:$H,5,FALSE)))</f>
        <v/>
      </c>
      <c r="G65" s="36"/>
      <c r="H65" s="36"/>
      <c r="I65" s="36"/>
      <c r="J65" s="36"/>
      <c r="K65" s="36"/>
      <c r="L65" s="36"/>
      <c r="M65" s="36"/>
      <c r="O65" s="36"/>
      <c r="P65" s="36"/>
      <c r="Q65" s="36"/>
      <c r="R65" s="36"/>
      <c r="S65" s="36"/>
      <c r="T65" s="36"/>
      <c r="U65" s="36"/>
      <c r="V65" s="36"/>
      <c r="W65" s="36"/>
      <c r="X65" s="36"/>
    </row>
    <row r="66" spans="1:24" ht="18" customHeight="1" x14ac:dyDescent="0.25">
      <c r="A66" s="32" t="str">
        <f t="shared" si="0"/>
        <v>Não</v>
      </c>
      <c r="B66" s="90">
        <v>61</v>
      </c>
      <c r="C66" s="196" t="str">
        <f>IF($C$2=0,"",IF(ISERROR(VLOOKUP($C$2&amp;"-"&amp;$B66,'BD Seq Op'!$C:$H,2,FALSE)),"",VLOOKUP($C$2&amp;"-"&amp;$B66,'BD Seq Op'!$C:$H,2,FALSE)))</f>
        <v/>
      </c>
      <c r="D66" s="197" t="str">
        <f>IF($C$2=0,"",IF(ISERROR(VLOOKUP($C$2&amp;"-"&amp;$B66,'BD Seq Op'!$C:$H,3,FALSE)),"",VLOOKUP($C$2&amp;"-"&amp;$B66,'BD Seq Op'!$C:$H,3,FALSE)))</f>
        <v/>
      </c>
      <c r="E66" s="197" t="str">
        <f>IF($C$2=0,"",IF(ISERROR(VLOOKUP($C$2&amp;"-"&amp;$B66,'BD Seq Op'!$C:$H,4,FALSE)),"",VLOOKUP($C$2&amp;"-"&amp;$B66,'BD Seq Op'!$C:$H,4,FALSE)))</f>
        <v/>
      </c>
      <c r="F66" s="198" t="str">
        <f>IF($C$2=0,"",IF(ISERROR(VLOOKUP($C$2&amp;"-"&amp;$B66,'BD Seq Op'!$C:$H,5,FALSE)),"",VLOOKUP($C$2&amp;"-"&amp;$B66,'BD Seq Op'!$C:$H,5,FALSE)))</f>
        <v/>
      </c>
      <c r="G66" s="36"/>
      <c r="H66" s="36"/>
      <c r="I66" s="36"/>
      <c r="J66" s="36"/>
      <c r="K66" s="36"/>
      <c r="L66" s="36"/>
      <c r="M66" s="36"/>
      <c r="O66" s="36"/>
      <c r="P66" s="36"/>
      <c r="Q66" s="36"/>
      <c r="R66" s="36"/>
      <c r="S66" s="36"/>
      <c r="T66" s="36"/>
      <c r="U66" s="36"/>
      <c r="V66" s="36"/>
      <c r="W66" s="36"/>
      <c r="X66" s="36"/>
    </row>
    <row r="67" spans="1:24" ht="18" customHeight="1" x14ac:dyDescent="0.25">
      <c r="A67" s="32" t="str">
        <f t="shared" si="0"/>
        <v>Não</v>
      </c>
      <c r="B67" s="91">
        <v>62</v>
      </c>
      <c r="C67" s="196" t="str">
        <f>IF($C$2=0,"",IF(ISERROR(VLOOKUP($C$2&amp;"-"&amp;$B67,'BD Seq Op'!$C:$H,2,FALSE)),"",VLOOKUP($C$2&amp;"-"&amp;$B67,'BD Seq Op'!$C:$H,2,FALSE)))</f>
        <v/>
      </c>
      <c r="D67" s="197" t="str">
        <f>IF($C$2=0,"",IF(ISERROR(VLOOKUP($C$2&amp;"-"&amp;$B67,'BD Seq Op'!$C:$H,3,FALSE)),"",VLOOKUP($C$2&amp;"-"&amp;$B67,'BD Seq Op'!$C:$H,3,FALSE)))</f>
        <v/>
      </c>
      <c r="E67" s="197" t="str">
        <f>IF($C$2=0,"",IF(ISERROR(VLOOKUP($C$2&amp;"-"&amp;$B67,'BD Seq Op'!$C:$H,4,FALSE)),"",VLOOKUP($C$2&amp;"-"&amp;$B67,'BD Seq Op'!$C:$H,4,FALSE)))</f>
        <v/>
      </c>
      <c r="F67" s="198" t="str">
        <f>IF($C$2=0,"",IF(ISERROR(VLOOKUP($C$2&amp;"-"&amp;$B67,'BD Seq Op'!$C:$H,5,FALSE)),"",VLOOKUP($C$2&amp;"-"&amp;$B67,'BD Seq Op'!$C:$H,5,FALSE)))</f>
        <v/>
      </c>
      <c r="G67" s="36"/>
      <c r="H67" s="36"/>
      <c r="I67" s="36"/>
      <c r="J67" s="36"/>
      <c r="K67" s="36"/>
      <c r="L67" s="36"/>
      <c r="M67" s="36"/>
      <c r="O67" s="36"/>
      <c r="P67" s="36"/>
      <c r="Q67" s="36"/>
      <c r="R67" s="36"/>
      <c r="S67" s="36"/>
      <c r="T67" s="36"/>
      <c r="U67" s="36"/>
      <c r="V67" s="36"/>
      <c r="W67" s="36"/>
      <c r="X67" s="36"/>
    </row>
    <row r="68" spans="1:24" ht="18" customHeight="1" x14ac:dyDescent="0.25">
      <c r="A68" s="32" t="str">
        <f t="shared" si="0"/>
        <v>Não</v>
      </c>
      <c r="B68" s="90">
        <v>63</v>
      </c>
      <c r="C68" s="196" t="str">
        <f>IF($C$2=0,"",IF(ISERROR(VLOOKUP($C$2&amp;"-"&amp;$B68,'BD Seq Op'!$C:$H,2,FALSE)),"",VLOOKUP($C$2&amp;"-"&amp;$B68,'BD Seq Op'!$C:$H,2,FALSE)))</f>
        <v/>
      </c>
      <c r="D68" s="197" t="str">
        <f>IF($C$2=0,"",IF(ISERROR(VLOOKUP($C$2&amp;"-"&amp;$B68,'BD Seq Op'!$C:$H,3,FALSE)),"",VLOOKUP($C$2&amp;"-"&amp;$B68,'BD Seq Op'!$C:$H,3,FALSE)))</f>
        <v/>
      </c>
      <c r="E68" s="197" t="str">
        <f>IF($C$2=0,"",IF(ISERROR(VLOOKUP($C$2&amp;"-"&amp;$B68,'BD Seq Op'!$C:$H,4,FALSE)),"",VLOOKUP($C$2&amp;"-"&amp;$B68,'BD Seq Op'!$C:$H,4,FALSE)))</f>
        <v/>
      </c>
      <c r="F68" s="198" t="str">
        <f>IF($C$2=0,"",IF(ISERROR(VLOOKUP($C$2&amp;"-"&amp;$B68,'BD Seq Op'!$C:$H,5,FALSE)),"",VLOOKUP($C$2&amp;"-"&amp;$B68,'BD Seq Op'!$C:$H,5,FALSE)))</f>
        <v/>
      </c>
      <c r="G68" s="36"/>
      <c r="H68" s="36"/>
      <c r="I68" s="36"/>
      <c r="J68" s="36"/>
      <c r="K68" s="36"/>
      <c r="L68" s="36"/>
      <c r="M68" s="36"/>
      <c r="O68" s="36"/>
      <c r="P68" s="36"/>
      <c r="Q68" s="36"/>
      <c r="R68" s="36"/>
      <c r="S68" s="36"/>
      <c r="T68" s="36"/>
      <c r="U68" s="36"/>
      <c r="V68" s="36"/>
      <c r="W68" s="36"/>
      <c r="X68" s="36"/>
    </row>
    <row r="69" spans="1:24" ht="18" customHeight="1" x14ac:dyDescent="0.25">
      <c r="A69" s="32" t="str">
        <f t="shared" si="0"/>
        <v>Não</v>
      </c>
      <c r="B69" s="91">
        <v>64</v>
      </c>
      <c r="C69" s="196" t="str">
        <f>IF($C$2=0,"",IF(ISERROR(VLOOKUP($C$2&amp;"-"&amp;$B69,'BD Seq Op'!$C:$H,2,FALSE)),"",VLOOKUP($C$2&amp;"-"&amp;$B69,'BD Seq Op'!$C:$H,2,FALSE)))</f>
        <v/>
      </c>
      <c r="D69" s="197" t="str">
        <f>IF($C$2=0,"",IF(ISERROR(VLOOKUP($C$2&amp;"-"&amp;$B69,'BD Seq Op'!$C:$H,3,FALSE)),"",VLOOKUP($C$2&amp;"-"&amp;$B69,'BD Seq Op'!$C:$H,3,FALSE)))</f>
        <v/>
      </c>
      <c r="E69" s="197" t="str">
        <f>IF($C$2=0,"",IF(ISERROR(VLOOKUP($C$2&amp;"-"&amp;$B69,'BD Seq Op'!$C:$H,4,FALSE)),"",VLOOKUP($C$2&amp;"-"&amp;$B69,'BD Seq Op'!$C:$H,4,FALSE)))</f>
        <v/>
      </c>
      <c r="F69" s="198" t="str">
        <f>IF($C$2=0,"",IF(ISERROR(VLOOKUP($C$2&amp;"-"&amp;$B69,'BD Seq Op'!$C:$H,5,FALSE)),"",VLOOKUP($C$2&amp;"-"&amp;$B69,'BD Seq Op'!$C:$H,5,FALSE)))</f>
        <v/>
      </c>
      <c r="G69" s="36"/>
      <c r="H69" s="36"/>
      <c r="I69" s="36"/>
      <c r="J69" s="36"/>
      <c r="K69" s="36"/>
      <c r="L69" s="36"/>
      <c r="M69" s="36"/>
      <c r="O69" s="36"/>
      <c r="P69" s="36"/>
      <c r="Q69" s="36"/>
      <c r="R69" s="36"/>
      <c r="S69" s="36"/>
      <c r="T69" s="36"/>
      <c r="U69" s="36"/>
      <c r="V69" s="36"/>
      <c r="W69" s="36"/>
      <c r="X69" s="36"/>
    </row>
    <row r="70" spans="1:24" ht="18" customHeight="1" x14ac:dyDescent="0.25">
      <c r="A70" s="32" t="str">
        <f t="shared" si="0"/>
        <v>Não</v>
      </c>
      <c r="B70" s="90">
        <v>65</v>
      </c>
      <c r="C70" s="196" t="str">
        <f>IF($C$2=0,"",IF(ISERROR(VLOOKUP($C$2&amp;"-"&amp;$B70,'BD Seq Op'!$C:$H,2,FALSE)),"",VLOOKUP($C$2&amp;"-"&amp;$B70,'BD Seq Op'!$C:$H,2,FALSE)))</f>
        <v/>
      </c>
      <c r="D70" s="197" t="str">
        <f>IF($C$2=0,"",IF(ISERROR(VLOOKUP($C$2&amp;"-"&amp;$B70,'BD Seq Op'!$C:$H,3,FALSE)),"",VLOOKUP($C$2&amp;"-"&amp;$B70,'BD Seq Op'!$C:$H,3,FALSE)))</f>
        <v/>
      </c>
      <c r="E70" s="197" t="str">
        <f>IF($C$2=0,"",IF(ISERROR(VLOOKUP($C$2&amp;"-"&amp;$B70,'BD Seq Op'!$C:$H,4,FALSE)),"",VLOOKUP($C$2&amp;"-"&amp;$B70,'BD Seq Op'!$C:$H,4,FALSE)))</f>
        <v/>
      </c>
      <c r="F70" s="198" t="str">
        <f>IF($C$2=0,"",IF(ISERROR(VLOOKUP($C$2&amp;"-"&amp;$B70,'BD Seq Op'!$C:$H,5,FALSE)),"",VLOOKUP($C$2&amp;"-"&amp;$B70,'BD Seq Op'!$C:$H,5,FALSE)))</f>
        <v/>
      </c>
      <c r="G70" s="36"/>
      <c r="H70" s="36"/>
      <c r="I70" s="36"/>
      <c r="J70" s="36"/>
      <c r="K70" s="36"/>
      <c r="L70" s="36"/>
      <c r="M70" s="36"/>
      <c r="O70" s="36"/>
      <c r="P70" s="36"/>
      <c r="Q70" s="36"/>
      <c r="R70" s="36"/>
      <c r="S70" s="36"/>
      <c r="T70" s="36"/>
      <c r="U70" s="36"/>
      <c r="V70" s="36"/>
      <c r="W70" s="36"/>
      <c r="X70" s="36"/>
    </row>
    <row r="71" spans="1:24" ht="18" customHeight="1" x14ac:dyDescent="0.25">
      <c r="A71" s="32" t="str">
        <f t="shared" ref="A71:A125" si="1">IF(C71="","Não","Sim")</f>
        <v>Não</v>
      </c>
      <c r="B71" s="91">
        <v>66</v>
      </c>
      <c r="C71" s="196" t="str">
        <f>IF($C$2=0,"",IF(ISERROR(VLOOKUP($C$2&amp;"-"&amp;$B71,'BD Seq Op'!$C:$H,2,FALSE)),"",VLOOKUP($C$2&amp;"-"&amp;$B71,'BD Seq Op'!$C:$H,2,FALSE)))</f>
        <v/>
      </c>
      <c r="D71" s="197" t="str">
        <f>IF($C$2=0,"",IF(ISERROR(VLOOKUP($C$2&amp;"-"&amp;$B71,'BD Seq Op'!$C:$H,3,FALSE)),"",VLOOKUP($C$2&amp;"-"&amp;$B71,'BD Seq Op'!$C:$H,3,FALSE)))</f>
        <v/>
      </c>
      <c r="E71" s="197" t="str">
        <f>IF($C$2=0,"",IF(ISERROR(VLOOKUP($C$2&amp;"-"&amp;$B71,'BD Seq Op'!$C:$H,4,FALSE)),"",VLOOKUP($C$2&amp;"-"&amp;$B71,'BD Seq Op'!$C:$H,4,FALSE)))</f>
        <v/>
      </c>
      <c r="F71" s="198" t="str">
        <f>IF($C$2=0,"",IF(ISERROR(VLOOKUP($C$2&amp;"-"&amp;$B71,'BD Seq Op'!$C:$H,5,FALSE)),"",VLOOKUP($C$2&amp;"-"&amp;$B71,'BD Seq Op'!$C:$H,5,FALSE)))</f>
        <v/>
      </c>
      <c r="G71" s="36"/>
      <c r="H71" s="36"/>
      <c r="I71" s="36"/>
      <c r="J71" s="36"/>
      <c r="K71" s="36"/>
      <c r="L71" s="36"/>
      <c r="M71" s="36"/>
      <c r="O71" s="36"/>
      <c r="P71" s="36"/>
      <c r="Q71" s="36"/>
      <c r="R71" s="36"/>
      <c r="S71" s="36"/>
      <c r="T71" s="36"/>
      <c r="U71" s="36"/>
      <c r="V71" s="36"/>
      <c r="W71" s="36"/>
      <c r="X71" s="36"/>
    </row>
    <row r="72" spans="1:24" ht="18" customHeight="1" x14ac:dyDescent="0.25">
      <c r="A72" s="32" t="str">
        <f t="shared" si="1"/>
        <v>Não</v>
      </c>
      <c r="B72" s="90">
        <v>67</v>
      </c>
      <c r="C72" s="196" t="str">
        <f>IF($C$2=0,"",IF(ISERROR(VLOOKUP($C$2&amp;"-"&amp;$B72,'BD Seq Op'!$C:$H,2,FALSE)),"",VLOOKUP($C$2&amp;"-"&amp;$B72,'BD Seq Op'!$C:$H,2,FALSE)))</f>
        <v/>
      </c>
      <c r="D72" s="197" t="str">
        <f>IF($C$2=0,"",IF(ISERROR(VLOOKUP($C$2&amp;"-"&amp;$B72,'BD Seq Op'!$C:$H,3,FALSE)),"",VLOOKUP($C$2&amp;"-"&amp;$B72,'BD Seq Op'!$C:$H,3,FALSE)))</f>
        <v/>
      </c>
      <c r="E72" s="197" t="str">
        <f>IF($C$2=0,"",IF(ISERROR(VLOOKUP($C$2&amp;"-"&amp;$B72,'BD Seq Op'!$C:$H,4,FALSE)),"",VLOOKUP($C$2&amp;"-"&amp;$B72,'BD Seq Op'!$C:$H,4,FALSE)))</f>
        <v/>
      </c>
      <c r="F72" s="198" t="str">
        <f>IF($C$2=0,"",IF(ISERROR(VLOOKUP($C$2&amp;"-"&amp;$B72,'BD Seq Op'!$C:$H,5,FALSE)),"",VLOOKUP($C$2&amp;"-"&amp;$B72,'BD Seq Op'!$C:$H,5,FALSE)))</f>
        <v/>
      </c>
      <c r="G72" s="36"/>
      <c r="H72" s="36"/>
      <c r="I72" s="36"/>
      <c r="J72" s="36"/>
      <c r="K72" s="36"/>
      <c r="L72" s="36"/>
      <c r="M72" s="36"/>
      <c r="O72" s="36"/>
      <c r="P72" s="36"/>
      <c r="Q72" s="36"/>
      <c r="R72" s="36"/>
      <c r="S72" s="36"/>
      <c r="T72" s="36"/>
      <c r="U72" s="36"/>
      <c r="V72" s="36"/>
      <c r="W72" s="36"/>
      <c r="X72" s="36"/>
    </row>
    <row r="73" spans="1:24" ht="18" customHeight="1" x14ac:dyDescent="0.25">
      <c r="A73" s="32" t="str">
        <f t="shared" si="1"/>
        <v>Não</v>
      </c>
      <c r="B73" s="91">
        <v>68</v>
      </c>
      <c r="C73" s="196" t="str">
        <f>IF($C$2=0,"",IF(ISERROR(VLOOKUP($C$2&amp;"-"&amp;$B73,'BD Seq Op'!$C:$H,2,FALSE)),"",VLOOKUP($C$2&amp;"-"&amp;$B73,'BD Seq Op'!$C:$H,2,FALSE)))</f>
        <v/>
      </c>
      <c r="D73" s="197" t="str">
        <f>IF($C$2=0,"",IF(ISERROR(VLOOKUP($C$2&amp;"-"&amp;$B73,'BD Seq Op'!$C:$H,3,FALSE)),"",VLOOKUP($C$2&amp;"-"&amp;$B73,'BD Seq Op'!$C:$H,3,FALSE)))</f>
        <v/>
      </c>
      <c r="E73" s="197" t="str">
        <f>IF($C$2=0,"",IF(ISERROR(VLOOKUP($C$2&amp;"-"&amp;$B73,'BD Seq Op'!$C:$H,4,FALSE)),"",VLOOKUP($C$2&amp;"-"&amp;$B73,'BD Seq Op'!$C:$H,4,FALSE)))</f>
        <v/>
      </c>
      <c r="F73" s="198" t="str">
        <f>IF($C$2=0,"",IF(ISERROR(VLOOKUP($C$2&amp;"-"&amp;$B73,'BD Seq Op'!$C:$H,5,FALSE)),"",VLOOKUP($C$2&amp;"-"&amp;$B73,'BD Seq Op'!$C:$H,5,FALSE)))</f>
        <v/>
      </c>
      <c r="G73" s="36"/>
      <c r="H73" s="36"/>
      <c r="I73" s="36"/>
      <c r="J73" s="36"/>
      <c r="K73" s="36"/>
      <c r="L73" s="36"/>
      <c r="M73" s="36"/>
      <c r="O73" s="36"/>
      <c r="P73" s="36"/>
      <c r="Q73" s="36"/>
      <c r="R73" s="36"/>
      <c r="S73" s="36"/>
      <c r="T73" s="36"/>
      <c r="U73" s="36"/>
      <c r="V73" s="36"/>
      <c r="W73" s="36"/>
      <c r="X73" s="36"/>
    </row>
    <row r="74" spans="1:24" ht="18" customHeight="1" x14ac:dyDescent="0.25">
      <c r="A74" s="32" t="str">
        <f t="shared" si="1"/>
        <v>Não</v>
      </c>
      <c r="B74" s="90">
        <v>69</v>
      </c>
      <c r="C74" s="196" t="str">
        <f>IF($C$2=0,"",IF(ISERROR(VLOOKUP($C$2&amp;"-"&amp;$B74,'BD Seq Op'!$C:$H,2,FALSE)),"",VLOOKUP($C$2&amp;"-"&amp;$B74,'BD Seq Op'!$C:$H,2,FALSE)))</f>
        <v/>
      </c>
      <c r="D74" s="197" t="str">
        <f>IF($C$2=0,"",IF(ISERROR(VLOOKUP($C$2&amp;"-"&amp;$B74,'BD Seq Op'!$C:$H,3,FALSE)),"",VLOOKUP($C$2&amp;"-"&amp;$B74,'BD Seq Op'!$C:$H,3,FALSE)))</f>
        <v/>
      </c>
      <c r="E74" s="197" t="str">
        <f>IF($C$2=0,"",IF(ISERROR(VLOOKUP($C$2&amp;"-"&amp;$B74,'BD Seq Op'!$C:$H,4,FALSE)),"",VLOOKUP($C$2&amp;"-"&amp;$B74,'BD Seq Op'!$C:$H,4,FALSE)))</f>
        <v/>
      </c>
      <c r="F74" s="198" t="str">
        <f>IF($C$2=0,"",IF(ISERROR(VLOOKUP($C$2&amp;"-"&amp;$B74,'BD Seq Op'!$C:$H,5,FALSE)),"",VLOOKUP($C$2&amp;"-"&amp;$B74,'BD Seq Op'!$C:$H,5,FALSE)))</f>
        <v/>
      </c>
      <c r="G74" s="36"/>
      <c r="H74" s="36"/>
      <c r="I74" s="36"/>
      <c r="J74" s="36"/>
      <c r="K74" s="36"/>
      <c r="L74" s="36"/>
      <c r="M74" s="36"/>
      <c r="O74" s="36"/>
      <c r="P74" s="36"/>
      <c r="Q74" s="36"/>
      <c r="R74" s="36"/>
      <c r="S74" s="36"/>
      <c r="T74" s="36"/>
      <c r="U74" s="36"/>
      <c r="V74" s="36"/>
      <c r="W74" s="36"/>
      <c r="X74" s="36"/>
    </row>
    <row r="75" spans="1:24" ht="18" customHeight="1" x14ac:dyDescent="0.25">
      <c r="A75" s="32" t="str">
        <f t="shared" si="1"/>
        <v>Não</v>
      </c>
      <c r="B75" s="91">
        <v>70</v>
      </c>
      <c r="C75" s="196" t="str">
        <f>IF($C$2=0,"",IF(ISERROR(VLOOKUP($C$2&amp;"-"&amp;$B75,'BD Seq Op'!$C:$H,2,FALSE)),"",VLOOKUP($C$2&amp;"-"&amp;$B75,'BD Seq Op'!$C:$H,2,FALSE)))</f>
        <v/>
      </c>
      <c r="D75" s="197" t="str">
        <f>IF($C$2=0,"",IF(ISERROR(VLOOKUP($C$2&amp;"-"&amp;$B75,'BD Seq Op'!$C:$H,3,FALSE)),"",VLOOKUP($C$2&amp;"-"&amp;$B75,'BD Seq Op'!$C:$H,3,FALSE)))</f>
        <v/>
      </c>
      <c r="E75" s="197" t="str">
        <f>IF($C$2=0,"",IF(ISERROR(VLOOKUP($C$2&amp;"-"&amp;$B75,'BD Seq Op'!$C:$H,4,FALSE)),"",VLOOKUP($C$2&amp;"-"&amp;$B75,'BD Seq Op'!$C:$H,4,FALSE)))</f>
        <v/>
      </c>
      <c r="F75" s="198" t="str">
        <f>IF($C$2=0,"",IF(ISERROR(VLOOKUP($C$2&amp;"-"&amp;$B75,'BD Seq Op'!$C:$H,5,FALSE)),"",VLOOKUP($C$2&amp;"-"&amp;$B75,'BD Seq Op'!$C:$H,5,FALSE)))</f>
        <v/>
      </c>
      <c r="G75" s="36"/>
      <c r="H75" s="36"/>
      <c r="I75" s="36"/>
      <c r="J75" s="36"/>
      <c r="K75" s="36"/>
      <c r="L75" s="36"/>
      <c r="M75" s="36"/>
      <c r="O75" s="36"/>
      <c r="P75" s="36"/>
      <c r="Q75" s="36"/>
      <c r="R75" s="36"/>
      <c r="S75" s="36"/>
      <c r="T75" s="36"/>
      <c r="U75" s="36"/>
      <c r="V75" s="36"/>
      <c r="W75" s="36"/>
      <c r="X75" s="36"/>
    </row>
    <row r="76" spans="1:24" ht="18" customHeight="1" x14ac:dyDescent="0.25">
      <c r="A76" s="32" t="str">
        <f t="shared" si="1"/>
        <v>Não</v>
      </c>
      <c r="B76" s="90">
        <v>71</v>
      </c>
      <c r="C76" s="196" t="str">
        <f>IF($C$2=0,"",IF(ISERROR(VLOOKUP($C$2&amp;"-"&amp;$B76,'BD Seq Op'!$C:$H,2,FALSE)),"",VLOOKUP($C$2&amp;"-"&amp;$B76,'BD Seq Op'!$C:$H,2,FALSE)))</f>
        <v/>
      </c>
      <c r="D76" s="197" t="str">
        <f>IF($C$2=0,"",IF(ISERROR(VLOOKUP($C$2&amp;"-"&amp;$B76,'BD Seq Op'!$C:$H,3,FALSE)),"",VLOOKUP($C$2&amp;"-"&amp;$B76,'BD Seq Op'!$C:$H,3,FALSE)))</f>
        <v/>
      </c>
      <c r="E76" s="197" t="str">
        <f>IF($C$2=0,"",IF(ISERROR(VLOOKUP($C$2&amp;"-"&amp;$B76,'BD Seq Op'!$C:$H,4,FALSE)),"",VLOOKUP($C$2&amp;"-"&amp;$B76,'BD Seq Op'!$C:$H,4,FALSE)))</f>
        <v/>
      </c>
      <c r="F76" s="198" t="str">
        <f>IF($C$2=0,"",IF(ISERROR(VLOOKUP($C$2&amp;"-"&amp;$B76,'BD Seq Op'!$C:$H,5,FALSE)),"",VLOOKUP($C$2&amp;"-"&amp;$B76,'BD Seq Op'!$C:$H,5,FALSE)))</f>
        <v/>
      </c>
      <c r="G76" s="36"/>
      <c r="H76" s="36"/>
      <c r="I76" s="36"/>
      <c r="J76" s="36"/>
      <c r="K76" s="36"/>
      <c r="L76" s="36"/>
      <c r="M76" s="36"/>
      <c r="O76" s="36"/>
      <c r="P76" s="36"/>
      <c r="Q76" s="36"/>
      <c r="R76" s="36"/>
      <c r="S76" s="36"/>
      <c r="T76" s="36"/>
      <c r="U76" s="36"/>
      <c r="V76" s="36"/>
      <c r="W76" s="36"/>
      <c r="X76" s="36"/>
    </row>
    <row r="77" spans="1:24" ht="18" customHeight="1" x14ac:dyDescent="0.25">
      <c r="A77" s="32" t="str">
        <f t="shared" si="1"/>
        <v>Não</v>
      </c>
      <c r="B77" s="91">
        <v>72</v>
      </c>
      <c r="C77" s="196" t="str">
        <f>IF($C$2=0,"",IF(ISERROR(VLOOKUP($C$2&amp;"-"&amp;$B77,'BD Seq Op'!$C:$H,2,FALSE)),"",VLOOKUP($C$2&amp;"-"&amp;$B77,'BD Seq Op'!$C:$H,2,FALSE)))</f>
        <v/>
      </c>
      <c r="D77" s="197" t="str">
        <f>IF($C$2=0,"",IF(ISERROR(VLOOKUP($C$2&amp;"-"&amp;$B77,'BD Seq Op'!$C:$H,3,FALSE)),"",VLOOKUP($C$2&amp;"-"&amp;$B77,'BD Seq Op'!$C:$H,3,FALSE)))</f>
        <v/>
      </c>
      <c r="E77" s="197" t="str">
        <f>IF($C$2=0,"",IF(ISERROR(VLOOKUP($C$2&amp;"-"&amp;$B77,'BD Seq Op'!$C:$H,4,FALSE)),"",VLOOKUP($C$2&amp;"-"&amp;$B77,'BD Seq Op'!$C:$H,4,FALSE)))</f>
        <v/>
      </c>
      <c r="F77" s="198" t="str">
        <f>IF($C$2=0,"",IF(ISERROR(VLOOKUP($C$2&amp;"-"&amp;$B77,'BD Seq Op'!$C:$H,5,FALSE)),"",VLOOKUP($C$2&amp;"-"&amp;$B77,'BD Seq Op'!$C:$H,5,FALSE)))</f>
        <v/>
      </c>
      <c r="G77" s="36"/>
      <c r="H77" s="36"/>
      <c r="I77" s="36"/>
      <c r="J77" s="36"/>
      <c r="K77" s="36"/>
      <c r="L77" s="36"/>
      <c r="M77" s="36"/>
      <c r="O77" s="36"/>
      <c r="P77" s="36"/>
      <c r="Q77" s="36"/>
      <c r="R77" s="36"/>
      <c r="S77" s="36"/>
      <c r="T77" s="36"/>
      <c r="U77" s="36"/>
      <c r="V77" s="36"/>
      <c r="W77" s="36"/>
      <c r="X77" s="36"/>
    </row>
    <row r="78" spans="1:24" ht="18" customHeight="1" x14ac:dyDescent="0.25">
      <c r="A78" s="32" t="str">
        <f t="shared" si="1"/>
        <v>Não</v>
      </c>
      <c r="B78" s="90">
        <v>73</v>
      </c>
      <c r="C78" s="196" t="str">
        <f>IF($C$2=0,"",IF(ISERROR(VLOOKUP($C$2&amp;"-"&amp;$B78,'BD Seq Op'!$C:$H,2,FALSE)),"",VLOOKUP($C$2&amp;"-"&amp;$B78,'BD Seq Op'!$C:$H,2,FALSE)))</f>
        <v/>
      </c>
      <c r="D78" s="197" t="str">
        <f>IF($C$2=0,"",IF(ISERROR(VLOOKUP($C$2&amp;"-"&amp;$B78,'BD Seq Op'!$C:$H,3,FALSE)),"",VLOOKUP($C$2&amp;"-"&amp;$B78,'BD Seq Op'!$C:$H,3,FALSE)))</f>
        <v/>
      </c>
      <c r="E78" s="197" t="str">
        <f>IF($C$2=0,"",IF(ISERROR(VLOOKUP($C$2&amp;"-"&amp;$B78,'BD Seq Op'!$C:$H,4,FALSE)),"",VLOOKUP($C$2&amp;"-"&amp;$B78,'BD Seq Op'!$C:$H,4,FALSE)))</f>
        <v/>
      </c>
      <c r="F78" s="198" t="str">
        <f>IF($C$2=0,"",IF(ISERROR(VLOOKUP($C$2&amp;"-"&amp;$B78,'BD Seq Op'!$C:$H,5,FALSE)),"",VLOOKUP($C$2&amp;"-"&amp;$B78,'BD Seq Op'!$C:$H,5,FALSE)))</f>
        <v/>
      </c>
      <c r="G78" s="36"/>
      <c r="H78" s="36"/>
      <c r="I78" s="36"/>
      <c r="J78" s="36"/>
      <c r="K78" s="36"/>
      <c r="L78" s="36"/>
      <c r="M78" s="36"/>
      <c r="O78" s="36"/>
      <c r="P78" s="36"/>
      <c r="Q78" s="36"/>
      <c r="R78" s="36"/>
      <c r="S78" s="36"/>
      <c r="T78" s="36"/>
      <c r="U78" s="36"/>
      <c r="V78" s="36"/>
      <c r="W78" s="36"/>
      <c r="X78" s="36"/>
    </row>
    <row r="79" spans="1:24" ht="18" customHeight="1" x14ac:dyDescent="0.25">
      <c r="A79" s="32" t="str">
        <f t="shared" si="1"/>
        <v>Não</v>
      </c>
      <c r="B79" s="91">
        <v>74</v>
      </c>
      <c r="C79" s="196" t="str">
        <f>IF($C$2=0,"",IF(ISERROR(VLOOKUP($C$2&amp;"-"&amp;$B79,'BD Seq Op'!$C:$H,2,FALSE)),"",VLOOKUP($C$2&amp;"-"&amp;$B79,'BD Seq Op'!$C:$H,2,FALSE)))</f>
        <v/>
      </c>
      <c r="D79" s="197" t="str">
        <f>IF($C$2=0,"",IF(ISERROR(VLOOKUP($C$2&amp;"-"&amp;$B79,'BD Seq Op'!$C:$H,3,FALSE)),"",VLOOKUP($C$2&amp;"-"&amp;$B79,'BD Seq Op'!$C:$H,3,FALSE)))</f>
        <v/>
      </c>
      <c r="E79" s="197" t="str">
        <f>IF($C$2=0,"",IF(ISERROR(VLOOKUP($C$2&amp;"-"&amp;$B79,'BD Seq Op'!$C:$H,4,FALSE)),"",VLOOKUP($C$2&amp;"-"&amp;$B79,'BD Seq Op'!$C:$H,4,FALSE)))</f>
        <v/>
      </c>
      <c r="F79" s="198" t="str">
        <f>IF($C$2=0,"",IF(ISERROR(VLOOKUP($C$2&amp;"-"&amp;$B79,'BD Seq Op'!$C:$H,5,FALSE)),"",VLOOKUP($C$2&amp;"-"&amp;$B79,'BD Seq Op'!$C:$H,5,FALSE)))</f>
        <v/>
      </c>
      <c r="G79" s="36"/>
      <c r="H79" s="36"/>
      <c r="I79" s="36"/>
      <c r="J79" s="36"/>
      <c r="K79" s="36"/>
      <c r="L79" s="36"/>
      <c r="M79" s="36"/>
      <c r="O79" s="36"/>
      <c r="P79" s="36"/>
      <c r="Q79" s="36"/>
      <c r="R79" s="36"/>
      <c r="S79" s="36"/>
      <c r="T79" s="36"/>
      <c r="U79" s="36"/>
      <c r="V79" s="36"/>
      <c r="W79" s="36"/>
      <c r="X79" s="36"/>
    </row>
    <row r="80" spans="1:24" ht="18" customHeight="1" x14ac:dyDescent="0.25">
      <c r="A80" s="32" t="str">
        <f t="shared" si="1"/>
        <v>Não</v>
      </c>
      <c r="B80" s="90">
        <v>75</v>
      </c>
      <c r="C80" s="196" t="str">
        <f>IF($C$2=0,"",IF(ISERROR(VLOOKUP($C$2&amp;"-"&amp;$B80,'BD Seq Op'!$C:$H,2,FALSE)),"",VLOOKUP($C$2&amp;"-"&amp;$B80,'BD Seq Op'!$C:$H,2,FALSE)))</f>
        <v/>
      </c>
      <c r="D80" s="197" t="str">
        <f>IF($C$2=0,"",IF(ISERROR(VLOOKUP($C$2&amp;"-"&amp;$B80,'BD Seq Op'!$C:$H,3,FALSE)),"",VLOOKUP($C$2&amp;"-"&amp;$B80,'BD Seq Op'!$C:$H,3,FALSE)))</f>
        <v/>
      </c>
      <c r="E80" s="197" t="str">
        <f>IF($C$2=0,"",IF(ISERROR(VLOOKUP($C$2&amp;"-"&amp;$B80,'BD Seq Op'!$C:$H,4,FALSE)),"",VLOOKUP($C$2&amp;"-"&amp;$B80,'BD Seq Op'!$C:$H,4,FALSE)))</f>
        <v/>
      </c>
      <c r="F80" s="198" t="str">
        <f>IF($C$2=0,"",IF(ISERROR(VLOOKUP($C$2&amp;"-"&amp;$B80,'BD Seq Op'!$C:$H,5,FALSE)),"",VLOOKUP($C$2&amp;"-"&amp;$B80,'BD Seq Op'!$C:$H,5,FALSE)))</f>
        <v/>
      </c>
      <c r="G80" s="36"/>
      <c r="H80" s="36"/>
      <c r="I80" s="36"/>
      <c r="J80" s="36"/>
      <c r="K80" s="36"/>
      <c r="L80" s="36"/>
      <c r="M80" s="36"/>
      <c r="O80" s="36"/>
      <c r="P80" s="36"/>
      <c r="Q80" s="36"/>
      <c r="R80" s="36"/>
      <c r="S80" s="36"/>
      <c r="T80" s="36"/>
      <c r="U80" s="36"/>
      <c r="V80" s="36"/>
      <c r="W80" s="36"/>
      <c r="X80" s="36"/>
    </row>
    <row r="81" spans="1:24" ht="18" customHeight="1" x14ac:dyDescent="0.25">
      <c r="A81" s="32" t="str">
        <f t="shared" si="1"/>
        <v>Não</v>
      </c>
      <c r="B81" s="91">
        <v>76</v>
      </c>
      <c r="C81" s="196" t="str">
        <f>IF($C$2=0,"",IF(ISERROR(VLOOKUP($C$2&amp;"-"&amp;$B81,'BD Seq Op'!$C:$H,2,FALSE)),"",VLOOKUP($C$2&amp;"-"&amp;$B81,'BD Seq Op'!$C:$H,2,FALSE)))</f>
        <v/>
      </c>
      <c r="D81" s="197" t="str">
        <f>IF($C$2=0,"",IF(ISERROR(VLOOKUP($C$2&amp;"-"&amp;$B81,'BD Seq Op'!$C:$H,3,FALSE)),"",VLOOKUP($C$2&amp;"-"&amp;$B81,'BD Seq Op'!$C:$H,3,FALSE)))</f>
        <v/>
      </c>
      <c r="E81" s="197" t="str">
        <f>IF($C$2=0,"",IF(ISERROR(VLOOKUP($C$2&amp;"-"&amp;$B81,'BD Seq Op'!$C:$H,4,FALSE)),"",VLOOKUP($C$2&amp;"-"&amp;$B81,'BD Seq Op'!$C:$H,4,FALSE)))</f>
        <v/>
      </c>
      <c r="F81" s="198" t="str">
        <f>IF($C$2=0,"",IF(ISERROR(VLOOKUP($C$2&amp;"-"&amp;$B81,'BD Seq Op'!$C:$H,5,FALSE)),"",VLOOKUP($C$2&amp;"-"&amp;$B81,'BD Seq Op'!$C:$H,5,FALSE)))</f>
        <v/>
      </c>
      <c r="G81" s="36"/>
      <c r="H81" s="36"/>
      <c r="I81" s="36"/>
      <c r="J81" s="36"/>
      <c r="K81" s="36"/>
      <c r="L81" s="36"/>
      <c r="M81" s="36"/>
      <c r="O81" s="36"/>
      <c r="P81" s="36"/>
      <c r="Q81" s="36"/>
      <c r="R81" s="36"/>
      <c r="S81" s="36"/>
      <c r="T81" s="36"/>
      <c r="U81" s="36"/>
      <c r="V81" s="36"/>
      <c r="W81" s="36"/>
      <c r="X81" s="36"/>
    </row>
    <row r="82" spans="1:24" ht="18" customHeight="1" x14ac:dyDescent="0.25">
      <c r="A82" s="32" t="str">
        <f t="shared" si="1"/>
        <v>Não</v>
      </c>
      <c r="B82" s="90">
        <v>77</v>
      </c>
      <c r="C82" s="196" t="str">
        <f>IF($C$2=0,"",IF(ISERROR(VLOOKUP($C$2&amp;"-"&amp;$B82,'BD Seq Op'!$C:$H,2,FALSE)),"",VLOOKUP($C$2&amp;"-"&amp;$B82,'BD Seq Op'!$C:$H,2,FALSE)))</f>
        <v/>
      </c>
      <c r="D82" s="197" t="str">
        <f>IF($C$2=0,"",IF(ISERROR(VLOOKUP($C$2&amp;"-"&amp;$B82,'BD Seq Op'!$C:$H,3,FALSE)),"",VLOOKUP($C$2&amp;"-"&amp;$B82,'BD Seq Op'!$C:$H,3,FALSE)))</f>
        <v/>
      </c>
      <c r="E82" s="197" t="str">
        <f>IF($C$2=0,"",IF(ISERROR(VLOOKUP($C$2&amp;"-"&amp;$B82,'BD Seq Op'!$C:$H,4,FALSE)),"",VLOOKUP($C$2&amp;"-"&amp;$B82,'BD Seq Op'!$C:$H,4,FALSE)))</f>
        <v/>
      </c>
      <c r="F82" s="198" t="str">
        <f>IF($C$2=0,"",IF(ISERROR(VLOOKUP($C$2&amp;"-"&amp;$B82,'BD Seq Op'!$C:$H,5,FALSE)),"",VLOOKUP($C$2&amp;"-"&amp;$B82,'BD Seq Op'!$C:$H,5,FALSE)))</f>
        <v/>
      </c>
      <c r="G82" s="36"/>
      <c r="H82" s="36"/>
      <c r="I82" s="36"/>
      <c r="J82" s="36"/>
      <c r="K82" s="36"/>
      <c r="L82" s="36"/>
      <c r="M82" s="36"/>
      <c r="O82" s="36"/>
      <c r="P82" s="36"/>
      <c r="Q82" s="36"/>
      <c r="R82" s="36"/>
      <c r="S82" s="36"/>
      <c r="T82" s="36"/>
      <c r="U82" s="36"/>
      <c r="V82" s="36"/>
      <c r="W82" s="36"/>
      <c r="X82" s="36"/>
    </row>
    <row r="83" spans="1:24" ht="18" customHeight="1" x14ac:dyDescent="0.25">
      <c r="A83" s="32" t="str">
        <f t="shared" si="1"/>
        <v>Não</v>
      </c>
      <c r="B83" s="91">
        <v>78</v>
      </c>
      <c r="C83" s="196" t="str">
        <f>IF($C$2=0,"",IF(ISERROR(VLOOKUP($C$2&amp;"-"&amp;$B83,'BD Seq Op'!$C:$H,2,FALSE)),"",VLOOKUP($C$2&amp;"-"&amp;$B83,'BD Seq Op'!$C:$H,2,FALSE)))</f>
        <v/>
      </c>
      <c r="D83" s="197" t="str">
        <f>IF($C$2=0,"",IF(ISERROR(VLOOKUP($C$2&amp;"-"&amp;$B83,'BD Seq Op'!$C:$H,3,FALSE)),"",VLOOKUP($C$2&amp;"-"&amp;$B83,'BD Seq Op'!$C:$H,3,FALSE)))</f>
        <v/>
      </c>
      <c r="E83" s="197" t="str">
        <f>IF($C$2=0,"",IF(ISERROR(VLOOKUP($C$2&amp;"-"&amp;$B83,'BD Seq Op'!$C:$H,4,FALSE)),"",VLOOKUP($C$2&amp;"-"&amp;$B83,'BD Seq Op'!$C:$H,4,FALSE)))</f>
        <v/>
      </c>
      <c r="F83" s="198" t="str">
        <f>IF($C$2=0,"",IF(ISERROR(VLOOKUP($C$2&amp;"-"&amp;$B83,'BD Seq Op'!$C:$H,5,FALSE)),"",VLOOKUP($C$2&amp;"-"&amp;$B83,'BD Seq Op'!$C:$H,5,FALSE)))</f>
        <v/>
      </c>
      <c r="G83" s="36"/>
      <c r="H83" s="36"/>
      <c r="I83" s="36"/>
      <c r="J83" s="36"/>
      <c r="K83" s="36"/>
      <c r="L83" s="36"/>
      <c r="M83" s="36"/>
      <c r="O83" s="36"/>
      <c r="P83" s="36"/>
      <c r="Q83" s="36"/>
      <c r="R83" s="36"/>
      <c r="S83" s="36"/>
      <c r="T83" s="36"/>
      <c r="U83" s="36"/>
      <c r="V83" s="36"/>
      <c r="W83" s="36"/>
      <c r="X83" s="36"/>
    </row>
    <row r="84" spans="1:24" ht="18" customHeight="1" x14ac:dyDescent="0.25">
      <c r="A84" s="32" t="str">
        <f t="shared" si="1"/>
        <v>Não</v>
      </c>
      <c r="B84" s="90">
        <v>79</v>
      </c>
      <c r="C84" s="196" t="str">
        <f>IF($C$2=0,"",IF(ISERROR(VLOOKUP($C$2&amp;"-"&amp;$B84,'BD Seq Op'!$C:$H,2,FALSE)),"",VLOOKUP($C$2&amp;"-"&amp;$B84,'BD Seq Op'!$C:$H,2,FALSE)))</f>
        <v/>
      </c>
      <c r="D84" s="197" t="str">
        <f>IF($C$2=0,"",IF(ISERROR(VLOOKUP($C$2&amp;"-"&amp;$B84,'BD Seq Op'!$C:$H,3,FALSE)),"",VLOOKUP($C$2&amp;"-"&amp;$B84,'BD Seq Op'!$C:$H,3,FALSE)))</f>
        <v/>
      </c>
      <c r="E84" s="197" t="str">
        <f>IF($C$2=0,"",IF(ISERROR(VLOOKUP($C$2&amp;"-"&amp;$B84,'BD Seq Op'!$C:$H,4,FALSE)),"",VLOOKUP($C$2&amp;"-"&amp;$B84,'BD Seq Op'!$C:$H,4,FALSE)))</f>
        <v/>
      </c>
      <c r="F84" s="198" t="str">
        <f>IF($C$2=0,"",IF(ISERROR(VLOOKUP($C$2&amp;"-"&amp;$B84,'BD Seq Op'!$C:$H,5,FALSE)),"",VLOOKUP($C$2&amp;"-"&amp;$B84,'BD Seq Op'!$C:$H,5,FALSE)))</f>
        <v/>
      </c>
      <c r="G84" s="36"/>
      <c r="H84" s="36"/>
      <c r="I84" s="36"/>
      <c r="J84" s="36"/>
      <c r="K84" s="36"/>
      <c r="L84" s="36"/>
      <c r="M84" s="36"/>
      <c r="O84" s="36"/>
      <c r="P84" s="36"/>
      <c r="Q84" s="36"/>
      <c r="R84" s="36"/>
      <c r="S84" s="36"/>
      <c r="T84" s="36"/>
      <c r="U84" s="36"/>
      <c r="V84" s="36"/>
      <c r="W84" s="36"/>
      <c r="X84" s="36"/>
    </row>
    <row r="85" spans="1:24" ht="18" customHeight="1" x14ac:dyDescent="0.25">
      <c r="A85" s="32" t="str">
        <f t="shared" si="1"/>
        <v>Não</v>
      </c>
      <c r="B85" s="91">
        <v>80</v>
      </c>
      <c r="C85" s="196" t="str">
        <f>IF($C$2=0,"",IF(ISERROR(VLOOKUP($C$2&amp;"-"&amp;$B85,'BD Seq Op'!$C:$H,2,FALSE)),"",VLOOKUP($C$2&amp;"-"&amp;$B85,'BD Seq Op'!$C:$H,2,FALSE)))</f>
        <v/>
      </c>
      <c r="D85" s="197" t="str">
        <f>IF($C$2=0,"",IF(ISERROR(VLOOKUP($C$2&amp;"-"&amp;$B85,'BD Seq Op'!$C:$H,3,FALSE)),"",VLOOKUP($C$2&amp;"-"&amp;$B85,'BD Seq Op'!$C:$H,3,FALSE)))</f>
        <v/>
      </c>
      <c r="E85" s="197" t="str">
        <f>IF($C$2=0,"",IF(ISERROR(VLOOKUP($C$2&amp;"-"&amp;$B85,'BD Seq Op'!$C:$H,4,FALSE)),"",VLOOKUP($C$2&amp;"-"&amp;$B85,'BD Seq Op'!$C:$H,4,FALSE)))</f>
        <v/>
      </c>
      <c r="F85" s="198" t="str">
        <f>IF($C$2=0,"",IF(ISERROR(VLOOKUP($C$2&amp;"-"&amp;$B85,'BD Seq Op'!$C:$H,5,FALSE)),"",VLOOKUP($C$2&amp;"-"&amp;$B85,'BD Seq Op'!$C:$H,5,FALSE)))</f>
        <v/>
      </c>
      <c r="G85" s="36"/>
      <c r="H85" s="36"/>
      <c r="I85" s="36"/>
      <c r="J85" s="36"/>
      <c r="K85" s="36"/>
      <c r="L85" s="36"/>
      <c r="M85" s="36"/>
      <c r="O85" s="36"/>
      <c r="P85" s="36"/>
      <c r="Q85" s="36"/>
      <c r="R85" s="36"/>
      <c r="S85" s="36"/>
      <c r="T85" s="36"/>
      <c r="U85" s="36"/>
      <c r="V85" s="36"/>
      <c r="W85" s="36"/>
      <c r="X85" s="36"/>
    </row>
    <row r="86" spans="1:24" ht="18" customHeight="1" x14ac:dyDescent="0.25">
      <c r="A86" s="32" t="str">
        <f t="shared" si="1"/>
        <v>Não</v>
      </c>
      <c r="B86" s="90">
        <v>81</v>
      </c>
      <c r="C86" s="196" t="str">
        <f>IF($C$2=0,"",IF(ISERROR(VLOOKUP($C$2&amp;"-"&amp;$B86,'BD Seq Op'!$C:$H,2,FALSE)),"",VLOOKUP($C$2&amp;"-"&amp;$B86,'BD Seq Op'!$C:$H,2,FALSE)))</f>
        <v/>
      </c>
      <c r="D86" s="197" t="str">
        <f>IF($C$2=0,"",IF(ISERROR(VLOOKUP($C$2&amp;"-"&amp;$B86,'BD Seq Op'!$C:$H,3,FALSE)),"",VLOOKUP($C$2&amp;"-"&amp;$B86,'BD Seq Op'!$C:$H,3,FALSE)))</f>
        <v/>
      </c>
      <c r="E86" s="197" t="str">
        <f>IF($C$2=0,"",IF(ISERROR(VLOOKUP($C$2&amp;"-"&amp;$B86,'BD Seq Op'!$C:$H,4,FALSE)),"",VLOOKUP($C$2&amp;"-"&amp;$B86,'BD Seq Op'!$C:$H,4,FALSE)))</f>
        <v/>
      </c>
      <c r="F86" s="198" t="str">
        <f>IF($C$2=0,"",IF(ISERROR(VLOOKUP($C$2&amp;"-"&amp;$B86,'BD Seq Op'!$C:$H,5,FALSE)),"",VLOOKUP($C$2&amp;"-"&amp;$B86,'BD Seq Op'!$C:$H,5,FALSE)))</f>
        <v/>
      </c>
      <c r="G86" s="36"/>
      <c r="H86" s="36"/>
      <c r="I86" s="36"/>
      <c r="J86" s="36"/>
      <c r="K86" s="36"/>
      <c r="L86" s="36"/>
      <c r="M86" s="36"/>
      <c r="O86" s="36"/>
      <c r="P86" s="36"/>
      <c r="Q86" s="36"/>
      <c r="R86" s="36"/>
      <c r="S86" s="36"/>
      <c r="T86" s="36"/>
      <c r="U86" s="36"/>
      <c r="V86" s="36"/>
      <c r="W86" s="36"/>
      <c r="X86" s="36"/>
    </row>
    <row r="87" spans="1:24" ht="18" customHeight="1" x14ac:dyDescent="0.25">
      <c r="A87" s="32" t="str">
        <f t="shared" si="1"/>
        <v>Não</v>
      </c>
      <c r="B87" s="91">
        <v>82</v>
      </c>
      <c r="C87" s="196" t="str">
        <f>IF($C$2=0,"",IF(ISERROR(VLOOKUP($C$2&amp;"-"&amp;$B87,'BD Seq Op'!$C:$H,2,FALSE)),"",VLOOKUP($C$2&amp;"-"&amp;$B87,'BD Seq Op'!$C:$H,2,FALSE)))</f>
        <v/>
      </c>
      <c r="D87" s="197" t="str">
        <f>IF($C$2=0,"",IF(ISERROR(VLOOKUP($C$2&amp;"-"&amp;$B87,'BD Seq Op'!$C:$H,3,FALSE)),"",VLOOKUP($C$2&amp;"-"&amp;$B87,'BD Seq Op'!$C:$H,3,FALSE)))</f>
        <v/>
      </c>
      <c r="E87" s="197" t="str">
        <f>IF($C$2=0,"",IF(ISERROR(VLOOKUP($C$2&amp;"-"&amp;$B87,'BD Seq Op'!$C:$H,4,FALSE)),"",VLOOKUP($C$2&amp;"-"&amp;$B87,'BD Seq Op'!$C:$H,4,FALSE)))</f>
        <v/>
      </c>
      <c r="F87" s="198" t="str">
        <f>IF($C$2=0,"",IF(ISERROR(VLOOKUP($C$2&amp;"-"&amp;$B87,'BD Seq Op'!$C:$H,5,FALSE)),"",VLOOKUP($C$2&amp;"-"&amp;$B87,'BD Seq Op'!$C:$H,5,FALSE)))</f>
        <v/>
      </c>
      <c r="G87" s="36"/>
      <c r="H87" s="36"/>
      <c r="I87" s="36"/>
      <c r="J87" s="36"/>
      <c r="K87" s="36"/>
      <c r="L87" s="36"/>
      <c r="M87" s="36"/>
      <c r="O87" s="36"/>
      <c r="P87" s="36"/>
      <c r="Q87" s="36"/>
      <c r="R87" s="36"/>
      <c r="S87" s="36"/>
      <c r="T87" s="36"/>
      <c r="U87" s="36"/>
      <c r="V87" s="36"/>
      <c r="W87" s="36"/>
      <c r="X87" s="36"/>
    </row>
    <row r="88" spans="1:24" ht="18" customHeight="1" x14ac:dyDescent="0.25">
      <c r="A88" s="32" t="str">
        <f t="shared" si="1"/>
        <v>Não</v>
      </c>
      <c r="B88" s="90">
        <v>83</v>
      </c>
      <c r="C88" s="196" t="str">
        <f>IF($C$2=0,"",IF(ISERROR(VLOOKUP($C$2&amp;"-"&amp;$B88,'BD Seq Op'!$C:$H,2,FALSE)),"",VLOOKUP($C$2&amp;"-"&amp;$B88,'BD Seq Op'!$C:$H,2,FALSE)))</f>
        <v/>
      </c>
      <c r="D88" s="197" t="str">
        <f>IF($C$2=0,"",IF(ISERROR(VLOOKUP($C$2&amp;"-"&amp;$B88,'BD Seq Op'!$C:$H,3,FALSE)),"",VLOOKUP($C$2&amp;"-"&amp;$B88,'BD Seq Op'!$C:$H,3,FALSE)))</f>
        <v/>
      </c>
      <c r="E88" s="197" t="str">
        <f>IF($C$2=0,"",IF(ISERROR(VLOOKUP($C$2&amp;"-"&amp;$B88,'BD Seq Op'!$C:$H,4,FALSE)),"",VLOOKUP($C$2&amp;"-"&amp;$B88,'BD Seq Op'!$C:$H,4,FALSE)))</f>
        <v/>
      </c>
      <c r="F88" s="198" t="str">
        <f>IF($C$2=0,"",IF(ISERROR(VLOOKUP($C$2&amp;"-"&amp;$B88,'BD Seq Op'!$C:$H,5,FALSE)),"",VLOOKUP($C$2&amp;"-"&amp;$B88,'BD Seq Op'!$C:$H,5,FALSE)))</f>
        <v/>
      </c>
      <c r="G88" s="36"/>
      <c r="H88" s="36"/>
      <c r="I88" s="36"/>
      <c r="J88" s="36"/>
      <c r="K88" s="36"/>
      <c r="L88" s="36"/>
      <c r="M88" s="36"/>
      <c r="O88" s="36"/>
      <c r="P88" s="36"/>
      <c r="Q88" s="36"/>
      <c r="R88" s="36"/>
      <c r="S88" s="36"/>
      <c r="T88" s="36"/>
      <c r="U88" s="36"/>
      <c r="V88" s="36"/>
      <c r="W88" s="36"/>
      <c r="X88" s="36"/>
    </row>
    <row r="89" spans="1:24" ht="18" customHeight="1" x14ac:dyDescent="0.25">
      <c r="A89" s="32" t="str">
        <f t="shared" si="1"/>
        <v>Não</v>
      </c>
      <c r="B89" s="91">
        <v>84</v>
      </c>
      <c r="C89" s="196" t="str">
        <f>IF($C$2=0,"",IF(ISERROR(VLOOKUP($C$2&amp;"-"&amp;$B89,'BD Seq Op'!$C:$H,2,FALSE)),"",VLOOKUP($C$2&amp;"-"&amp;$B89,'BD Seq Op'!$C:$H,2,FALSE)))</f>
        <v/>
      </c>
      <c r="D89" s="197" t="str">
        <f>IF($C$2=0,"",IF(ISERROR(VLOOKUP($C$2&amp;"-"&amp;$B89,'BD Seq Op'!$C:$H,3,FALSE)),"",VLOOKUP($C$2&amp;"-"&amp;$B89,'BD Seq Op'!$C:$H,3,FALSE)))</f>
        <v/>
      </c>
      <c r="E89" s="197" t="str">
        <f>IF($C$2=0,"",IF(ISERROR(VLOOKUP($C$2&amp;"-"&amp;$B89,'BD Seq Op'!$C:$H,4,FALSE)),"",VLOOKUP($C$2&amp;"-"&amp;$B89,'BD Seq Op'!$C:$H,4,FALSE)))</f>
        <v/>
      </c>
      <c r="F89" s="198" t="str">
        <f>IF($C$2=0,"",IF(ISERROR(VLOOKUP($C$2&amp;"-"&amp;$B89,'BD Seq Op'!$C:$H,5,FALSE)),"",VLOOKUP($C$2&amp;"-"&amp;$B89,'BD Seq Op'!$C:$H,5,FALSE)))</f>
        <v/>
      </c>
      <c r="G89" s="36"/>
      <c r="H89" s="36"/>
      <c r="I89" s="36"/>
      <c r="J89" s="36"/>
      <c r="K89" s="36"/>
      <c r="L89" s="36"/>
      <c r="M89" s="36"/>
      <c r="O89" s="36"/>
      <c r="P89" s="36"/>
      <c r="Q89" s="36"/>
      <c r="R89" s="36"/>
      <c r="S89" s="36"/>
      <c r="T89" s="36"/>
      <c r="U89" s="36"/>
      <c r="V89" s="36"/>
      <c r="W89" s="36"/>
      <c r="X89" s="36"/>
    </row>
    <row r="90" spans="1:24" ht="18" customHeight="1" x14ac:dyDescent="0.25">
      <c r="A90" s="32" t="str">
        <f t="shared" si="1"/>
        <v>Não</v>
      </c>
      <c r="B90" s="90">
        <v>85</v>
      </c>
      <c r="C90" s="196" t="str">
        <f>IF($C$2=0,"",IF(ISERROR(VLOOKUP($C$2&amp;"-"&amp;$B90,'BD Seq Op'!$C:$H,2,FALSE)),"",VLOOKUP($C$2&amp;"-"&amp;$B90,'BD Seq Op'!$C:$H,2,FALSE)))</f>
        <v/>
      </c>
      <c r="D90" s="197" t="str">
        <f>IF($C$2=0,"",IF(ISERROR(VLOOKUP($C$2&amp;"-"&amp;$B90,'BD Seq Op'!$C:$H,3,FALSE)),"",VLOOKUP($C$2&amp;"-"&amp;$B90,'BD Seq Op'!$C:$H,3,FALSE)))</f>
        <v/>
      </c>
      <c r="E90" s="197" t="str">
        <f>IF($C$2=0,"",IF(ISERROR(VLOOKUP($C$2&amp;"-"&amp;$B90,'BD Seq Op'!$C:$H,4,FALSE)),"",VLOOKUP($C$2&amp;"-"&amp;$B90,'BD Seq Op'!$C:$H,4,FALSE)))</f>
        <v/>
      </c>
      <c r="F90" s="198" t="str">
        <f>IF($C$2=0,"",IF(ISERROR(VLOOKUP($C$2&amp;"-"&amp;$B90,'BD Seq Op'!$C:$H,5,FALSE)),"",VLOOKUP($C$2&amp;"-"&amp;$B90,'BD Seq Op'!$C:$H,5,FALSE)))</f>
        <v/>
      </c>
      <c r="G90" s="36"/>
      <c r="H90" s="36"/>
      <c r="I90" s="36"/>
      <c r="J90" s="36"/>
      <c r="K90" s="36"/>
      <c r="L90" s="36"/>
      <c r="M90" s="36"/>
      <c r="O90" s="36"/>
      <c r="P90" s="36"/>
      <c r="Q90" s="36"/>
      <c r="R90" s="36"/>
      <c r="S90" s="36"/>
      <c r="T90" s="36"/>
      <c r="U90" s="36"/>
      <c r="V90" s="36"/>
      <c r="W90" s="36"/>
      <c r="X90" s="36"/>
    </row>
    <row r="91" spans="1:24" ht="18" customHeight="1" x14ac:dyDescent="0.25">
      <c r="A91" s="32" t="str">
        <f t="shared" si="1"/>
        <v>Não</v>
      </c>
      <c r="B91" s="91">
        <v>86</v>
      </c>
      <c r="C91" s="196" t="str">
        <f>IF($C$2=0,"",IF(ISERROR(VLOOKUP($C$2&amp;"-"&amp;$B91,'BD Seq Op'!$C:$H,2,FALSE)),"",VLOOKUP($C$2&amp;"-"&amp;$B91,'BD Seq Op'!$C:$H,2,FALSE)))</f>
        <v/>
      </c>
      <c r="D91" s="197" t="str">
        <f>IF($C$2=0,"",IF(ISERROR(VLOOKUP($C$2&amp;"-"&amp;$B91,'BD Seq Op'!$C:$H,3,FALSE)),"",VLOOKUP($C$2&amp;"-"&amp;$B91,'BD Seq Op'!$C:$H,3,FALSE)))</f>
        <v/>
      </c>
      <c r="E91" s="197" t="str">
        <f>IF($C$2=0,"",IF(ISERROR(VLOOKUP($C$2&amp;"-"&amp;$B91,'BD Seq Op'!$C:$H,4,FALSE)),"",VLOOKUP($C$2&amp;"-"&amp;$B91,'BD Seq Op'!$C:$H,4,FALSE)))</f>
        <v/>
      </c>
      <c r="F91" s="198" t="str">
        <f>IF($C$2=0,"",IF(ISERROR(VLOOKUP($C$2&amp;"-"&amp;$B91,'BD Seq Op'!$C:$H,5,FALSE)),"",VLOOKUP($C$2&amp;"-"&amp;$B91,'BD Seq Op'!$C:$H,5,FALSE)))</f>
        <v/>
      </c>
      <c r="G91" s="36"/>
      <c r="H91" s="36"/>
      <c r="I91" s="36"/>
      <c r="J91" s="36"/>
      <c r="K91" s="36"/>
      <c r="L91" s="36"/>
      <c r="M91" s="36"/>
      <c r="O91" s="36"/>
      <c r="P91" s="36"/>
      <c r="Q91" s="36"/>
      <c r="R91" s="36"/>
      <c r="S91" s="36"/>
      <c r="T91" s="36"/>
      <c r="U91" s="36"/>
      <c r="V91" s="36"/>
      <c r="W91" s="36"/>
      <c r="X91" s="36"/>
    </row>
    <row r="92" spans="1:24" ht="18" customHeight="1" x14ac:dyDescent="0.25">
      <c r="A92" s="32" t="str">
        <f t="shared" si="1"/>
        <v>Não</v>
      </c>
      <c r="B92" s="90">
        <v>87</v>
      </c>
      <c r="C92" s="196" t="str">
        <f>IF($C$2=0,"",IF(ISERROR(VLOOKUP($C$2&amp;"-"&amp;$B92,'BD Seq Op'!$C:$H,2,FALSE)),"",VLOOKUP($C$2&amp;"-"&amp;$B92,'BD Seq Op'!$C:$H,2,FALSE)))</f>
        <v/>
      </c>
      <c r="D92" s="197" t="str">
        <f>IF($C$2=0,"",IF(ISERROR(VLOOKUP($C$2&amp;"-"&amp;$B92,'BD Seq Op'!$C:$H,3,FALSE)),"",VLOOKUP($C$2&amp;"-"&amp;$B92,'BD Seq Op'!$C:$H,3,FALSE)))</f>
        <v/>
      </c>
      <c r="E92" s="197" t="str">
        <f>IF($C$2=0,"",IF(ISERROR(VLOOKUP($C$2&amp;"-"&amp;$B92,'BD Seq Op'!$C:$H,4,FALSE)),"",VLOOKUP($C$2&amp;"-"&amp;$B92,'BD Seq Op'!$C:$H,4,FALSE)))</f>
        <v/>
      </c>
      <c r="F92" s="198" t="str">
        <f>IF($C$2=0,"",IF(ISERROR(VLOOKUP($C$2&amp;"-"&amp;$B92,'BD Seq Op'!$C:$H,5,FALSE)),"",VLOOKUP($C$2&amp;"-"&amp;$B92,'BD Seq Op'!$C:$H,5,FALSE)))</f>
        <v/>
      </c>
      <c r="G92" s="36"/>
      <c r="H92" s="36"/>
      <c r="I92" s="36"/>
      <c r="J92" s="36"/>
      <c r="K92" s="36"/>
      <c r="L92" s="36"/>
      <c r="M92" s="36"/>
      <c r="O92" s="36"/>
      <c r="P92" s="36"/>
      <c r="Q92" s="36"/>
      <c r="R92" s="36"/>
      <c r="S92" s="36"/>
      <c r="T92" s="36"/>
      <c r="U92" s="36"/>
      <c r="V92" s="36"/>
      <c r="W92" s="36"/>
      <c r="X92" s="36"/>
    </row>
    <row r="93" spans="1:24" ht="18" customHeight="1" x14ac:dyDescent="0.25">
      <c r="A93" s="32" t="str">
        <f t="shared" si="1"/>
        <v>Não</v>
      </c>
      <c r="B93" s="91">
        <v>88</v>
      </c>
      <c r="C93" s="196" t="str">
        <f>IF($C$2=0,"",IF(ISERROR(VLOOKUP($C$2&amp;"-"&amp;$B93,'BD Seq Op'!$C:$H,2,FALSE)),"",VLOOKUP($C$2&amp;"-"&amp;$B93,'BD Seq Op'!$C:$H,2,FALSE)))</f>
        <v/>
      </c>
      <c r="D93" s="197" t="str">
        <f>IF($C$2=0,"",IF(ISERROR(VLOOKUP($C$2&amp;"-"&amp;$B93,'BD Seq Op'!$C:$H,3,FALSE)),"",VLOOKUP($C$2&amp;"-"&amp;$B93,'BD Seq Op'!$C:$H,3,FALSE)))</f>
        <v/>
      </c>
      <c r="E93" s="197" t="str">
        <f>IF($C$2=0,"",IF(ISERROR(VLOOKUP($C$2&amp;"-"&amp;$B93,'BD Seq Op'!$C:$H,4,FALSE)),"",VLOOKUP($C$2&amp;"-"&amp;$B93,'BD Seq Op'!$C:$H,4,FALSE)))</f>
        <v/>
      </c>
      <c r="F93" s="198" t="str">
        <f>IF($C$2=0,"",IF(ISERROR(VLOOKUP($C$2&amp;"-"&amp;$B93,'BD Seq Op'!$C:$H,5,FALSE)),"",VLOOKUP($C$2&amp;"-"&amp;$B93,'BD Seq Op'!$C:$H,5,FALSE)))</f>
        <v/>
      </c>
      <c r="G93" s="36"/>
      <c r="H93" s="36"/>
      <c r="I93" s="36"/>
      <c r="J93" s="36"/>
      <c r="K93" s="36"/>
      <c r="L93" s="36"/>
      <c r="M93" s="36"/>
      <c r="O93" s="36"/>
      <c r="P93" s="36"/>
      <c r="Q93" s="36"/>
      <c r="R93" s="36"/>
      <c r="S93" s="36"/>
      <c r="T93" s="36"/>
      <c r="U93" s="36"/>
      <c r="V93" s="36"/>
      <c r="W93" s="36"/>
      <c r="X93" s="36"/>
    </row>
    <row r="94" spans="1:24" ht="18" customHeight="1" x14ac:dyDescent="0.25">
      <c r="A94" s="32" t="str">
        <f t="shared" si="1"/>
        <v>Não</v>
      </c>
      <c r="B94" s="90">
        <v>89</v>
      </c>
      <c r="C94" s="196" t="str">
        <f>IF($C$2=0,"",IF(ISERROR(VLOOKUP($C$2&amp;"-"&amp;$B94,'BD Seq Op'!$C:$H,2,FALSE)),"",VLOOKUP($C$2&amp;"-"&amp;$B94,'BD Seq Op'!$C:$H,2,FALSE)))</f>
        <v/>
      </c>
      <c r="D94" s="197" t="str">
        <f>IF($C$2=0,"",IF(ISERROR(VLOOKUP($C$2&amp;"-"&amp;$B94,'BD Seq Op'!$C:$H,3,FALSE)),"",VLOOKUP($C$2&amp;"-"&amp;$B94,'BD Seq Op'!$C:$H,3,FALSE)))</f>
        <v/>
      </c>
      <c r="E94" s="197" t="str">
        <f>IF($C$2=0,"",IF(ISERROR(VLOOKUP($C$2&amp;"-"&amp;$B94,'BD Seq Op'!$C:$H,4,FALSE)),"",VLOOKUP($C$2&amp;"-"&amp;$B94,'BD Seq Op'!$C:$H,4,FALSE)))</f>
        <v/>
      </c>
      <c r="F94" s="198" t="str">
        <f>IF($C$2=0,"",IF(ISERROR(VLOOKUP($C$2&amp;"-"&amp;$B94,'BD Seq Op'!$C:$H,5,FALSE)),"",VLOOKUP($C$2&amp;"-"&amp;$B94,'BD Seq Op'!$C:$H,5,FALSE)))</f>
        <v/>
      </c>
      <c r="G94" s="36"/>
      <c r="H94" s="36"/>
      <c r="I94" s="36"/>
      <c r="J94" s="36"/>
      <c r="K94" s="36"/>
      <c r="L94" s="36"/>
      <c r="M94" s="36"/>
      <c r="O94" s="36"/>
      <c r="P94" s="36"/>
      <c r="Q94" s="36"/>
      <c r="R94" s="36"/>
      <c r="S94" s="36"/>
      <c r="T94" s="36"/>
      <c r="U94" s="36"/>
      <c r="V94" s="36"/>
      <c r="W94" s="36"/>
      <c r="X94" s="36"/>
    </row>
    <row r="95" spans="1:24" ht="18" customHeight="1" x14ac:dyDescent="0.25">
      <c r="A95" s="32" t="str">
        <f t="shared" si="1"/>
        <v>Não</v>
      </c>
      <c r="B95" s="91">
        <v>90</v>
      </c>
      <c r="C95" s="196" t="str">
        <f>IF($C$2=0,"",IF(ISERROR(VLOOKUP($C$2&amp;"-"&amp;$B95,'BD Seq Op'!$C:$H,2,FALSE)),"",VLOOKUP($C$2&amp;"-"&amp;$B95,'BD Seq Op'!$C:$H,2,FALSE)))</f>
        <v/>
      </c>
      <c r="D95" s="197" t="str">
        <f>IF($C$2=0,"",IF(ISERROR(VLOOKUP($C$2&amp;"-"&amp;$B95,'BD Seq Op'!$C:$H,3,FALSE)),"",VLOOKUP($C$2&amp;"-"&amp;$B95,'BD Seq Op'!$C:$H,3,FALSE)))</f>
        <v/>
      </c>
      <c r="E95" s="197" t="str">
        <f>IF($C$2=0,"",IF(ISERROR(VLOOKUP($C$2&amp;"-"&amp;$B95,'BD Seq Op'!$C:$H,4,FALSE)),"",VLOOKUP($C$2&amp;"-"&amp;$B95,'BD Seq Op'!$C:$H,4,FALSE)))</f>
        <v/>
      </c>
      <c r="F95" s="198" t="str">
        <f>IF($C$2=0,"",IF(ISERROR(VLOOKUP($C$2&amp;"-"&amp;$B95,'BD Seq Op'!$C:$H,5,FALSE)),"",VLOOKUP($C$2&amp;"-"&amp;$B95,'BD Seq Op'!$C:$H,5,FALSE)))</f>
        <v/>
      </c>
      <c r="G95" s="36"/>
      <c r="H95" s="36"/>
      <c r="I95" s="36"/>
      <c r="J95" s="36"/>
      <c r="K95" s="36"/>
      <c r="L95" s="36"/>
      <c r="M95" s="36"/>
      <c r="O95" s="36"/>
      <c r="P95" s="36"/>
      <c r="Q95" s="36"/>
      <c r="R95" s="36"/>
      <c r="S95" s="36"/>
      <c r="T95" s="36"/>
      <c r="U95" s="36"/>
      <c r="V95" s="36"/>
      <c r="W95" s="36"/>
      <c r="X95" s="36"/>
    </row>
    <row r="96" spans="1:24" ht="18" customHeight="1" x14ac:dyDescent="0.25">
      <c r="A96" s="32" t="str">
        <f t="shared" si="1"/>
        <v>Não</v>
      </c>
      <c r="B96" s="90">
        <v>91</v>
      </c>
      <c r="C96" s="196" t="str">
        <f>IF($C$2=0,"",IF(ISERROR(VLOOKUP($C$2&amp;"-"&amp;$B96,'BD Seq Op'!$C:$H,2,FALSE)),"",VLOOKUP($C$2&amp;"-"&amp;$B96,'BD Seq Op'!$C:$H,2,FALSE)))</f>
        <v/>
      </c>
      <c r="D96" s="197" t="str">
        <f>IF($C$2=0,"",IF(ISERROR(VLOOKUP($C$2&amp;"-"&amp;$B96,'BD Seq Op'!$C:$H,3,FALSE)),"",VLOOKUP($C$2&amp;"-"&amp;$B96,'BD Seq Op'!$C:$H,3,FALSE)))</f>
        <v/>
      </c>
      <c r="E96" s="197" t="str">
        <f>IF($C$2=0,"",IF(ISERROR(VLOOKUP($C$2&amp;"-"&amp;$B96,'BD Seq Op'!$C:$H,4,FALSE)),"",VLOOKUP($C$2&amp;"-"&amp;$B96,'BD Seq Op'!$C:$H,4,FALSE)))</f>
        <v/>
      </c>
      <c r="F96" s="198" t="str">
        <f>IF($C$2=0,"",IF(ISERROR(VLOOKUP($C$2&amp;"-"&amp;$B96,'BD Seq Op'!$C:$H,5,FALSE)),"",VLOOKUP($C$2&amp;"-"&amp;$B96,'BD Seq Op'!$C:$H,5,FALSE)))</f>
        <v/>
      </c>
      <c r="G96" s="36"/>
      <c r="H96" s="36"/>
      <c r="I96" s="36"/>
      <c r="J96" s="36"/>
      <c r="K96" s="36"/>
      <c r="L96" s="36"/>
      <c r="M96" s="36"/>
      <c r="O96" s="36"/>
      <c r="P96" s="36"/>
      <c r="Q96" s="36"/>
      <c r="R96" s="36"/>
      <c r="S96" s="36"/>
      <c r="T96" s="36"/>
      <c r="U96" s="36"/>
      <c r="V96" s="36"/>
      <c r="W96" s="36"/>
      <c r="X96" s="36"/>
    </row>
    <row r="97" spans="1:24" ht="18" customHeight="1" x14ac:dyDescent="0.25">
      <c r="A97" s="32" t="str">
        <f t="shared" si="1"/>
        <v>Não</v>
      </c>
      <c r="B97" s="91">
        <v>92</v>
      </c>
      <c r="C97" s="196" t="str">
        <f>IF($C$2=0,"",IF(ISERROR(VLOOKUP($C$2&amp;"-"&amp;$B97,'BD Seq Op'!$C:$H,2,FALSE)),"",VLOOKUP($C$2&amp;"-"&amp;$B97,'BD Seq Op'!$C:$H,2,FALSE)))</f>
        <v/>
      </c>
      <c r="D97" s="197" t="str">
        <f>IF($C$2=0,"",IF(ISERROR(VLOOKUP($C$2&amp;"-"&amp;$B97,'BD Seq Op'!$C:$H,3,FALSE)),"",VLOOKUP($C$2&amp;"-"&amp;$B97,'BD Seq Op'!$C:$H,3,FALSE)))</f>
        <v/>
      </c>
      <c r="E97" s="197" t="str">
        <f>IF($C$2=0,"",IF(ISERROR(VLOOKUP($C$2&amp;"-"&amp;$B97,'BD Seq Op'!$C:$H,4,FALSE)),"",VLOOKUP($C$2&amp;"-"&amp;$B97,'BD Seq Op'!$C:$H,4,FALSE)))</f>
        <v/>
      </c>
      <c r="F97" s="198" t="str">
        <f>IF($C$2=0,"",IF(ISERROR(VLOOKUP($C$2&amp;"-"&amp;$B97,'BD Seq Op'!$C:$H,5,FALSE)),"",VLOOKUP($C$2&amp;"-"&amp;$B97,'BD Seq Op'!$C:$H,5,FALSE)))</f>
        <v/>
      </c>
      <c r="G97" s="36"/>
      <c r="H97" s="36"/>
      <c r="I97" s="36"/>
      <c r="J97" s="36"/>
      <c r="K97" s="36"/>
      <c r="L97" s="36"/>
      <c r="M97" s="36"/>
      <c r="O97" s="36"/>
      <c r="P97" s="36"/>
      <c r="Q97" s="36"/>
      <c r="R97" s="36"/>
      <c r="S97" s="36"/>
      <c r="T97" s="36"/>
      <c r="U97" s="36"/>
      <c r="V97" s="36"/>
      <c r="W97" s="36"/>
      <c r="X97" s="36"/>
    </row>
    <row r="98" spans="1:24" ht="18" customHeight="1" x14ac:dyDescent="0.25">
      <c r="A98" s="32" t="str">
        <f t="shared" si="1"/>
        <v>Não</v>
      </c>
      <c r="B98" s="90">
        <v>93</v>
      </c>
      <c r="C98" s="196" t="str">
        <f>IF($C$2=0,"",IF(ISERROR(VLOOKUP($C$2&amp;"-"&amp;$B98,'BD Seq Op'!$C:$H,2,FALSE)),"",VLOOKUP($C$2&amp;"-"&amp;$B98,'BD Seq Op'!$C:$H,2,FALSE)))</f>
        <v/>
      </c>
      <c r="D98" s="197" t="str">
        <f>IF($C$2=0,"",IF(ISERROR(VLOOKUP($C$2&amp;"-"&amp;$B98,'BD Seq Op'!$C:$H,3,FALSE)),"",VLOOKUP($C$2&amp;"-"&amp;$B98,'BD Seq Op'!$C:$H,3,FALSE)))</f>
        <v/>
      </c>
      <c r="E98" s="197" t="str">
        <f>IF($C$2=0,"",IF(ISERROR(VLOOKUP($C$2&amp;"-"&amp;$B98,'BD Seq Op'!$C:$H,4,FALSE)),"",VLOOKUP($C$2&amp;"-"&amp;$B98,'BD Seq Op'!$C:$H,4,FALSE)))</f>
        <v/>
      </c>
      <c r="F98" s="198" t="str">
        <f>IF($C$2=0,"",IF(ISERROR(VLOOKUP($C$2&amp;"-"&amp;$B98,'BD Seq Op'!$C:$H,5,FALSE)),"",VLOOKUP($C$2&amp;"-"&amp;$B98,'BD Seq Op'!$C:$H,5,FALSE)))</f>
        <v/>
      </c>
      <c r="G98" s="36"/>
      <c r="H98" s="36"/>
      <c r="I98" s="36"/>
      <c r="J98" s="36"/>
      <c r="K98" s="36"/>
      <c r="L98" s="36"/>
      <c r="M98" s="36"/>
      <c r="O98" s="36"/>
      <c r="P98" s="36"/>
      <c r="Q98" s="36"/>
      <c r="R98" s="36"/>
      <c r="S98" s="36"/>
      <c r="T98" s="36"/>
      <c r="U98" s="36"/>
      <c r="V98" s="36"/>
      <c r="W98" s="36"/>
      <c r="X98" s="36"/>
    </row>
    <row r="99" spans="1:24" ht="18" customHeight="1" x14ac:dyDescent="0.25">
      <c r="A99" s="32" t="str">
        <f t="shared" si="1"/>
        <v>Não</v>
      </c>
      <c r="B99" s="91">
        <v>94</v>
      </c>
      <c r="C99" s="196" t="str">
        <f>IF($C$2=0,"",IF(ISERROR(VLOOKUP($C$2&amp;"-"&amp;$B99,'BD Seq Op'!$C:$H,2,FALSE)),"",VLOOKUP($C$2&amp;"-"&amp;$B99,'BD Seq Op'!$C:$H,2,FALSE)))</f>
        <v/>
      </c>
      <c r="D99" s="197" t="str">
        <f>IF($C$2=0,"",IF(ISERROR(VLOOKUP($C$2&amp;"-"&amp;$B99,'BD Seq Op'!$C:$H,3,FALSE)),"",VLOOKUP($C$2&amp;"-"&amp;$B99,'BD Seq Op'!$C:$H,3,FALSE)))</f>
        <v/>
      </c>
      <c r="E99" s="197" t="str">
        <f>IF($C$2=0,"",IF(ISERROR(VLOOKUP($C$2&amp;"-"&amp;$B99,'BD Seq Op'!$C:$H,4,FALSE)),"",VLOOKUP($C$2&amp;"-"&amp;$B99,'BD Seq Op'!$C:$H,4,FALSE)))</f>
        <v/>
      </c>
      <c r="F99" s="198" t="str">
        <f>IF($C$2=0,"",IF(ISERROR(VLOOKUP($C$2&amp;"-"&amp;$B99,'BD Seq Op'!$C:$H,5,FALSE)),"",VLOOKUP($C$2&amp;"-"&amp;$B99,'BD Seq Op'!$C:$H,5,FALSE)))</f>
        <v/>
      </c>
      <c r="G99" s="36"/>
      <c r="H99" s="36"/>
      <c r="I99" s="36"/>
      <c r="J99" s="36"/>
      <c r="K99" s="36"/>
      <c r="L99" s="36"/>
      <c r="M99" s="36"/>
      <c r="O99" s="36"/>
      <c r="P99" s="36"/>
      <c r="Q99" s="36"/>
      <c r="R99" s="36"/>
      <c r="S99" s="36"/>
      <c r="T99" s="36"/>
      <c r="U99" s="36"/>
      <c r="V99" s="36"/>
      <c r="W99" s="36"/>
      <c r="X99" s="36"/>
    </row>
    <row r="100" spans="1:24" ht="18" customHeight="1" x14ac:dyDescent="0.25">
      <c r="A100" s="32" t="str">
        <f t="shared" si="1"/>
        <v>Não</v>
      </c>
      <c r="B100" s="90">
        <v>95</v>
      </c>
      <c r="C100" s="196" t="str">
        <f>IF($C$2=0,"",IF(ISERROR(VLOOKUP($C$2&amp;"-"&amp;$B100,'BD Seq Op'!$C:$H,2,FALSE)),"",VLOOKUP($C$2&amp;"-"&amp;$B100,'BD Seq Op'!$C:$H,2,FALSE)))</f>
        <v/>
      </c>
      <c r="D100" s="197" t="str">
        <f>IF($C$2=0,"",IF(ISERROR(VLOOKUP($C$2&amp;"-"&amp;$B100,'BD Seq Op'!$C:$H,3,FALSE)),"",VLOOKUP($C$2&amp;"-"&amp;$B100,'BD Seq Op'!$C:$H,3,FALSE)))</f>
        <v/>
      </c>
      <c r="E100" s="197" t="str">
        <f>IF($C$2=0,"",IF(ISERROR(VLOOKUP($C$2&amp;"-"&amp;$B100,'BD Seq Op'!$C:$H,4,FALSE)),"",VLOOKUP($C$2&amp;"-"&amp;$B100,'BD Seq Op'!$C:$H,4,FALSE)))</f>
        <v/>
      </c>
      <c r="F100" s="198" t="str">
        <f>IF($C$2=0,"",IF(ISERROR(VLOOKUP($C$2&amp;"-"&amp;$B100,'BD Seq Op'!$C:$H,5,FALSE)),"",VLOOKUP($C$2&amp;"-"&amp;$B100,'BD Seq Op'!$C:$H,5,FALSE)))</f>
        <v/>
      </c>
      <c r="G100" s="36"/>
      <c r="H100" s="36"/>
      <c r="I100" s="36"/>
      <c r="J100" s="36"/>
      <c r="K100" s="36"/>
      <c r="L100" s="36"/>
      <c r="M100" s="36"/>
      <c r="O100" s="36"/>
      <c r="P100" s="36"/>
      <c r="Q100" s="36"/>
      <c r="R100" s="36"/>
      <c r="S100" s="36"/>
      <c r="T100" s="36"/>
      <c r="U100" s="36"/>
      <c r="V100" s="36"/>
      <c r="W100" s="36"/>
      <c r="X100" s="36"/>
    </row>
    <row r="101" spans="1:24" ht="18" customHeight="1" x14ac:dyDescent="0.25">
      <c r="A101" s="32" t="str">
        <f t="shared" si="1"/>
        <v>Não</v>
      </c>
      <c r="B101" s="91">
        <v>96</v>
      </c>
      <c r="C101" s="196" t="str">
        <f>IF($C$2=0,"",IF(ISERROR(VLOOKUP($C$2&amp;"-"&amp;$B101,'BD Seq Op'!$C:$H,2,FALSE)),"",VLOOKUP($C$2&amp;"-"&amp;$B101,'BD Seq Op'!$C:$H,2,FALSE)))</f>
        <v/>
      </c>
      <c r="D101" s="197" t="str">
        <f>IF($C$2=0,"",IF(ISERROR(VLOOKUP($C$2&amp;"-"&amp;$B101,'BD Seq Op'!$C:$H,3,FALSE)),"",VLOOKUP($C$2&amp;"-"&amp;$B101,'BD Seq Op'!$C:$H,3,FALSE)))</f>
        <v/>
      </c>
      <c r="E101" s="197" t="str">
        <f>IF($C$2=0,"",IF(ISERROR(VLOOKUP($C$2&amp;"-"&amp;$B101,'BD Seq Op'!$C:$H,4,FALSE)),"",VLOOKUP($C$2&amp;"-"&amp;$B101,'BD Seq Op'!$C:$H,4,FALSE)))</f>
        <v/>
      </c>
      <c r="F101" s="198" t="str">
        <f>IF($C$2=0,"",IF(ISERROR(VLOOKUP($C$2&amp;"-"&amp;$B101,'BD Seq Op'!$C:$H,5,FALSE)),"",VLOOKUP($C$2&amp;"-"&amp;$B101,'BD Seq Op'!$C:$H,5,FALSE)))</f>
        <v/>
      </c>
      <c r="G101" s="36"/>
      <c r="H101" s="36"/>
      <c r="I101" s="36"/>
      <c r="J101" s="36"/>
      <c r="K101" s="36"/>
      <c r="L101" s="36"/>
      <c r="M101" s="36"/>
      <c r="O101" s="36"/>
      <c r="P101" s="36"/>
      <c r="Q101" s="36"/>
      <c r="R101" s="36"/>
      <c r="S101" s="36"/>
      <c r="T101" s="36"/>
      <c r="U101" s="36"/>
      <c r="V101" s="36"/>
      <c r="W101" s="36"/>
      <c r="X101" s="36"/>
    </row>
    <row r="102" spans="1:24" ht="18" customHeight="1" x14ac:dyDescent="0.25">
      <c r="A102" s="32" t="str">
        <f t="shared" si="1"/>
        <v>Não</v>
      </c>
      <c r="B102" s="90">
        <v>97</v>
      </c>
      <c r="C102" s="196" t="str">
        <f>IF($C$2=0,"",IF(ISERROR(VLOOKUP($C$2&amp;"-"&amp;$B102,'BD Seq Op'!$C:$H,2,FALSE)),"",VLOOKUP($C$2&amp;"-"&amp;$B102,'BD Seq Op'!$C:$H,2,FALSE)))</f>
        <v/>
      </c>
      <c r="D102" s="197" t="str">
        <f>IF($C$2=0,"",IF(ISERROR(VLOOKUP($C$2&amp;"-"&amp;$B102,'BD Seq Op'!$C:$H,3,FALSE)),"",VLOOKUP($C$2&amp;"-"&amp;$B102,'BD Seq Op'!$C:$H,3,FALSE)))</f>
        <v/>
      </c>
      <c r="E102" s="197" t="str">
        <f>IF($C$2=0,"",IF(ISERROR(VLOOKUP($C$2&amp;"-"&amp;$B102,'BD Seq Op'!$C:$H,4,FALSE)),"",VLOOKUP($C$2&amp;"-"&amp;$B102,'BD Seq Op'!$C:$H,4,FALSE)))</f>
        <v/>
      </c>
      <c r="F102" s="198" t="str">
        <f>IF($C$2=0,"",IF(ISERROR(VLOOKUP($C$2&amp;"-"&amp;$B102,'BD Seq Op'!$C:$H,5,FALSE)),"",VLOOKUP($C$2&amp;"-"&amp;$B102,'BD Seq Op'!$C:$H,5,FALSE)))</f>
        <v/>
      </c>
      <c r="G102" s="36"/>
      <c r="H102" s="36"/>
      <c r="I102" s="36"/>
      <c r="J102" s="36"/>
      <c r="K102" s="36"/>
      <c r="L102" s="36"/>
      <c r="M102" s="36"/>
      <c r="O102" s="36"/>
      <c r="P102" s="36"/>
      <c r="Q102" s="36"/>
      <c r="R102" s="36"/>
      <c r="S102" s="36"/>
      <c r="T102" s="36"/>
      <c r="U102" s="36"/>
      <c r="V102" s="36"/>
      <c r="W102" s="36"/>
      <c r="X102" s="36"/>
    </row>
    <row r="103" spans="1:24" ht="18" customHeight="1" x14ac:dyDescent="0.25">
      <c r="A103" s="32" t="str">
        <f t="shared" si="1"/>
        <v>Não</v>
      </c>
      <c r="B103" s="91">
        <v>98</v>
      </c>
      <c r="C103" s="196" t="str">
        <f>IF($C$2=0,"",IF(ISERROR(VLOOKUP($C$2&amp;"-"&amp;$B103,'BD Seq Op'!$C:$H,2,FALSE)),"",VLOOKUP($C$2&amp;"-"&amp;$B103,'BD Seq Op'!$C:$H,2,FALSE)))</f>
        <v/>
      </c>
      <c r="D103" s="197" t="str">
        <f>IF($C$2=0,"",IF(ISERROR(VLOOKUP($C$2&amp;"-"&amp;$B103,'BD Seq Op'!$C:$H,3,FALSE)),"",VLOOKUP($C$2&amp;"-"&amp;$B103,'BD Seq Op'!$C:$H,3,FALSE)))</f>
        <v/>
      </c>
      <c r="E103" s="197" t="str">
        <f>IF($C$2=0,"",IF(ISERROR(VLOOKUP($C$2&amp;"-"&amp;$B103,'BD Seq Op'!$C:$H,4,FALSE)),"",VLOOKUP($C$2&amp;"-"&amp;$B103,'BD Seq Op'!$C:$H,4,FALSE)))</f>
        <v/>
      </c>
      <c r="F103" s="198" t="str">
        <f>IF($C$2=0,"",IF(ISERROR(VLOOKUP($C$2&amp;"-"&amp;$B103,'BD Seq Op'!$C:$H,5,FALSE)),"",VLOOKUP($C$2&amp;"-"&amp;$B103,'BD Seq Op'!$C:$H,5,FALSE)))</f>
        <v/>
      </c>
      <c r="G103" s="36"/>
      <c r="H103" s="36"/>
      <c r="I103" s="36"/>
      <c r="J103" s="36"/>
      <c r="K103" s="36"/>
      <c r="L103" s="36"/>
      <c r="M103" s="36"/>
      <c r="O103" s="36"/>
      <c r="P103" s="36"/>
      <c r="Q103" s="36"/>
      <c r="R103" s="36"/>
      <c r="S103" s="36"/>
      <c r="T103" s="36"/>
      <c r="U103" s="36"/>
      <c r="V103" s="36"/>
      <c r="W103" s="36"/>
      <c r="X103" s="36"/>
    </row>
    <row r="104" spans="1:24" ht="18" customHeight="1" x14ac:dyDescent="0.25">
      <c r="A104" s="32" t="str">
        <f t="shared" si="1"/>
        <v>Não</v>
      </c>
      <c r="B104" s="90">
        <v>99</v>
      </c>
      <c r="C104" s="196" t="str">
        <f>IF($C$2=0,"",IF(ISERROR(VLOOKUP($C$2&amp;"-"&amp;$B104,'BD Seq Op'!$C:$H,2,FALSE)),"",VLOOKUP($C$2&amp;"-"&amp;$B104,'BD Seq Op'!$C:$H,2,FALSE)))</f>
        <v/>
      </c>
      <c r="D104" s="197" t="str">
        <f>IF($C$2=0,"",IF(ISERROR(VLOOKUP($C$2&amp;"-"&amp;$B104,'BD Seq Op'!$C:$H,3,FALSE)),"",VLOOKUP($C$2&amp;"-"&amp;$B104,'BD Seq Op'!$C:$H,3,FALSE)))</f>
        <v/>
      </c>
      <c r="E104" s="197" t="str">
        <f>IF($C$2=0,"",IF(ISERROR(VLOOKUP($C$2&amp;"-"&amp;$B104,'BD Seq Op'!$C:$H,4,FALSE)),"",VLOOKUP($C$2&amp;"-"&amp;$B104,'BD Seq Op'!$C:$H,4,FALSE)))</f>
        <v/>
      </c>
      <c r="F104" s="198" t="str">
        <f>IF($C$2=0,"",IF(ISERROR(VLOOKUP($C$2&amp;"-"&amp;$B104,'BD Seq Op'!$C:$H,5,FALSE)),"",VLOOKUP($C$2&amp;"-"&amp;$B104,'BD Seq Op'!$C:$H,5,FALSE)))</f>
        <v/>
      </c>
      <c r="G104" s="36"/>
      <c r="H104" s="36"/>
      <c r="I104" s="36"/>
      <c r="J104" s="36"/>
      <c r="K104" s="36"/>
      <c r="L104" s="36"/>
      <c r="M104" s="36"/>
      <c r="O104" s="36"/>
      <c r="P104" s="36"/>
      <c r="Q104" s="36"/>
      <c r="R104" s="36"/>
      <c r="S104" s="36"/>
      <c r="T104" s="36"/>
      <c r="U104" s="36"/>
      <c r="V104" s="36"/>
      <c r="W104" s="36"/>
      <c r="X104" s="36"/>
    </row>
    <row r="105" spans="1:24" ht="18" customHeight="1" x14ac:dyDescent="0.25">
      <c r="A105" s="32" t="str">
        <f t="shared" si="1"/>
        <v>Não</v>
      </c>
      <c r="B105" s="91">
        <v>100</v>
      </c>
      <c r="C105" s="196" t="str">
        <f>IF($C$2=0,"",IF(ISERROR(VLOOKUP($C$2&amp;"-"&amp;$B105,'BD Seq Op'!$C:$H,2,FALSE)),"",VLOOKUP($C$2&amp;"-"&amp;$B105,'BD Seq Op'!$C:$H,2,FALSE)))</f>
        <v/>
      </c>
      <c r="D105" s="197" t="str">
        <f>IF($C$2=0,"",IF(ISERROR(VLOOKUP($C$2&amp;"-"&amp;$B105,'BD Seq Op'!$C:$H,3,FALSE)),"",VLOOKUP($C$2&amp;"-"&amp;$B105,'BD Seq Op'!$C:$H,3,FALSE)))</f>
        <v/>
      </c>
      <c r="E105" s="197" t="str">
        <f>IF($C$2=0,"",IF(ISERROR(VLOOKUP($C$2&amp;"-"&amp;$B105,'BD Seq Op'!$C:$H,4,FALSE)),"",VLOOKUP($C$2&amp;"-"&amp;$B105,'BD Seq Op'!$C:$H,4,FALSE)))</f>
        <v/>
      </c>
      <c r="F105" s="198" t="str">
        <f>IF($C$2=0,"",IF(ISERROR(VLOOKUP($C$2&amp;"-"&amp;$B105,'BD Seq Op'!$C:$H,5,FALSE)),"",VLOOKUP($C$2&amp;"-"&amp;$B105,'BD Seq Op'!$C:$H,5,FALSE)))</f>
        <v/>
      </c>
      <c r="G105" s="36"/>
      <c r="H105" s="36"/>
      <c r="I105" s="36"/>
      <c r="J105" s="36"/>
      <c r="K105" s="36"/>
      <c r="L105" s="36"/>
      <c r="M105" s="36"/>
      <c r="O105" s="36"/>
      <c r="P105" s="36"/>
      <c r="Q105" s="36"/>
      <c r="R105" s="36"/>
      <c r="S105" s="36"/>
      <c r="T105" s="36"/>
      <c r="U105" s="36"/>
      <c r="V105" s="36"/>
      <c r="W105" s="36"/>
      <c r="X105" s="36"/>
    </row>
    <row r="106" spans="1:24" ht="18" customHeight="1" x14ac:dyDescent="0.25">
      <c r="A106" s="32" t="str">
        <f t="shared" si="1"/>
        <v>Não</v>
      </c>
      <c r="B106" s="90">
        <v>101</v>
      </c>
      <c r="C106" s="196" t="str">
        <f>IF($C$2=0,"",IF(ISERROR(VLOOKUP($C$2&amp;"-"&amp;$B106,'BD Seq Op'!$C:$H,2,FALSE)),"",VLOOKUP($C$2&amp;"-"&amp;$B106,'BD Seq Op'!$C:$H,2,FALSE)))</f>
        <v/>
      </c>
      <c r="D106" s="197" t="str">
        <f>IF($C$2=0,"",IF(ISERROR(VLOOKUP($C$2&amp;"-"&amp;$B106,'BD Seq Op'!$C:$H,3,FALSE)),"",VLOOKUP($C$2&amp;"-"&amp;$B106,'BD Seq Op'!$C:$H,3,FALSE)))</f>
        <v/>
      </c>
      <c r="E106" s="197" t="str">
        <f>IF($C$2=0,"",IF(ISERROR(VLOOKUP($C$2&amp;"-"&amp;$B106,'BD Seq Op'!$C:$H,4,FALSE)),"",VLOOKUP($C$2&amp;"-"&amp;$B106,'BD Seq Op'!$C:$H,4,FALSE)))</f>
        <v/>
      </c>
      <c r="F106" s="198" t="str">
        <f>IF($C$2=0,"",IF(ISERROR(VLOOKUP($C$2&amp;"-"&amp;$B106,'BD Seq Op'!$C:$H,5,FALSE)),"",VLOOKUP($C$2&amp;"-"&amp;$B106,'BD Seq Op'!$C:$H,5,FALSE)))</f>
        <v/>
      </c>
      <c r="G106" s="36"/>
      <c r="H106" s="36"/>
      <c r="I106" s="36"/>
      <c r="J106" s="36"/>
      <c r="K106" s="36"/>
      <c r="L106" s="36"/>
      <c r="M106" s="36"/>
      <c r="O106" s="36"/>
      <c r="P106" s="36"/>
      <c r="Q106" s="36"/>
      <c r="R106" s="36"/>
      <c r="S106" s="36"/>
      <c r="T106" s="36"/>
      <c r="U106" s="36"/>
      <c r="V106" s="36"/>
      <c r="W106" s="36"/>
      <c r="X106" s="36"/>
    </row>
    <row r="107" spans="1:24" ht="18" customHeight="1" x14ac:dyDescent="0.25">
      <c r="A107" s="32" t="str">
        <f t="shared" si="1"/>
        <v>Não</v>
      </c>
      <c r="B107" s="91">
        <v>102</v>
      </c>
      <c r="C107" s="196" t="str">
        <f>IF($C$2=0,"",IF(ISERROR(VLOOKUP($C$2&amp;"-"&amp;$B107,'BD Seq Op'!$C:$H,2,FALSE)),"",VLOOKUP($C$2&amp;"-"&amp;$B107,'BD Seq Op'!$C:$H,2,FALSE)))</f>
        <v/>
      </c>
      <c r="D107" s="197" t="str">
        <f>IF($C$2=0,"",IF(ISERROR(VLOOKUP($C$2&amp;"-"&amp;$B107,'BD Seq Op'!$C:$H,3,FALSE)),"",VLOOKUP($C$2&amp;"-"&amp;$B107,'BD Seq Op'!$C:$H,3,FALSE)))</f>
        <v/>
      </c>
      <c r="E107" s="197" t="str">
        <f>IF($C$2=0,"",IF(ISERROR(VLOOKUP($C$2&amp;"-"&amp;$B107,'BD Seq Op'!$C:$H,4,FALSE)),"",VLOOKUP($C$2&amp;"-"&amp;$B107,'BD Seq Op'!$C:$H,4,FALSE)))</f>
        <v/>
      </c>
      <c r="F107" s="198" t="str">
        <f>IF($C$2=0,"",IF(ISERROR(VLOOKUP($C$2&amp;"-"&amp;$B107,'BD Seq Op'!$C:$H,5,FALSE)),"",VLOOKUP($C$2&amp;"-"&amp;$B107,'BD Seq Op'!$C:$H,5,FALSE)))</f>
        <v/>
      </c>
      <c r="G107" s="36"/>
      <c r="H107" s="36"/>
      <c r="I107" s="36"/>
      <c r="J107" s="36"/>
      <c r="K107" s="36"/>
      <c r="L107" s="36"/>
      <c r="M107" s="36"/>
      <c r="O107" s="36"/>
      <c r="P107" s="36"/>
      <c r="Q107" s="36"/>
      <c r="R107" s="36"/>
      <c r="S107" s="36"/>
      <c r="T107" s="36"/>
      <c r="U107" s="36"/>
      <c r="V107" s="36"/>
      <c r="W107" s="36"/>
      <c r="X107" s="36"/>
    </row>
    <row r="108" spans="1:24" ht="18" customHeight="1" x14ac:dyDescent="0.25">
      <c r="A108" s="32" t="str">
        <f t="shared" si="1"/>
        <v>Não</v>
      </c>
      <c r="B108" s="90">
        <v>103</v>
      </c>
      <c r="C108" s="196" t="str">
        <f>IF($C$2=0,"",IF(ISERROR(VLOOKUP($C$2&amp;"-"&amp;$B108,'BD Seq Op'!$C:$H,2,FALSE)),"",VLOOKUP($C$2&amp;"-"&amp;$B108,'BD Seq Op'!$C:$H,2,FALSE)))</f>
        <v/>
      </c>
      <c r="D108" s="197" t="str">
        <f>IF($C$2=0,"",IF(ISERROR(VLOOKUP($C$2&amp;"-"&amp;$B108,'BD Seq Op'!$C:$H,3,FALSE)),"",VLOOKUP($C$2&amp;"-"&amp;$B108,'BD Seq Op'!$C:$H,3,FALSE)))</f>
        <v/>
      </c>
      <c r="E108" s="197" t="str">
        <f>IF($C$2=0,"",IF(ISERROR(VLOOKUP($C$2&amp;"-"&amp;$B108,'BD Seq Op'!$C:$H,4,FALSE)),"",VLOOKUP($C$2&amp;"-"&amp;$B108,'BD Seq Op'!$C:$H,4,FALSE)))</f>
        <v/>
      </c>
      <c r="F108" s="198" t="str">
        <f>IF($C$2=0,"",IF(ISERROR(VLOOKUP($C$2&amp;"-"&amp;$B108,'BD Seq Op'!$C:$H,5,FALSE)),"",VLOOKUP($C$2&amp;"-"&amp;$B108,'BD Seq Op'!$C:$H,5,FALSE)))</f>
        <v/>
      </c>
      <c r="G108" s="36"/>
      <c r="H108" s="36"/>
      <c r="I108" s="36"/>
      <c r="J108" s="36"/>
      <c r="K108" s="36"/>
      <c r="L108" s="36"/>
      <c r="M108" s="36"/>
      <c r="O108" s="36"/>
      <c r="P108" s="36"/>
      <c r="Q108" s="36"/>
      <c r="R108" s="36"/>
      <c r="S108" s="36"/>
      <c r="T108" s="36"/>
      <c r="U108" s="36"/>
      <c r="V108" s="36"/>
      <c r="W108" s="36"/>
      <c r="X108" s="36"/>
    </row>
    <row r="109" spans="1:24" ht="18" customHeight="1" x14ac:dyDescent="0.25">
      <c r="A109" s="32" t="str">
        <f t="shared" si="1"/>
        <v>Não</v>
      </c>
      <c r="B109" s="91">
        <v>104</v>
      </c>
      <c r="C109" s="196" t="str">
        <f>IF($C$2=0,"",IF(ISERROR(VLOOKUP($C$2&amp;"-"&amp;$B109,'BD Seq Op'!$C:$H,2,FALSE)),"",VLOOKUP($C$2&amp;"-"&amp;$B109,'BD Seq Op'!$C:$H,2,FALSE)))</f>
        <v/>
      </c>
      <c r="D109" s="197" t="str">
        <f>IF($C$2=0,"",IF(ISERROR(VLOOKUP($C$2&amp;"-"&amp;$B109,'BD Seq Op'!$C:$H,3,FALSE)),"",VLOOKUP($C$2&amp;"-"&amp;$B109,'BD Seq Op'!$C:$H,3,FALSE)))</f>
        <v/>
      </c>
      <c r="E109" s="197" t="str">
        <f>IF($C$2=0,"",IF(ISERROR(VLOOKUP($C$2&amp;"-"&amp;$B109,'BD Seq Op'!$C:$H,4,FALSE)),"",VLOOKUP($C$2&amp;"-"&amp;$B109,'BD Seq Op'!$C:$H,4,FALSE)))</f>
        <v/>
      </c>
      <c r="F109" s="198" t="str">
        <f>IF($C$2=0,"",IF(ISERROR(VLOOKUP($C$2&amp;"-"&amp;$B109,'BD Seq Op'!$C:$H,5,FALSE)),"",VLOOKUP($C$2&amp;"-"&amp;$B109,'BD Seq Op'!$C:$H,5,FALSE)))</f>
        <v/>
      </c>
      <c r="G109" s="36"/>
      <c r="H109" s="36"/>
      <c r="I109" s="36"/>
      <c r="J109" s="36"/>
      <c r="K109" s="36"/>
      <c r="L109" s="36"/>
      <c r="M109" s="36"/>
      <c r="O109" s="36"/>
      <c r="P109" s="36"/>
      <c r="Q109" s="36"/>
      <c r="R109" s="36"/>
      <c r="S109" s="36"/>
      <c r="T109" s="36"/>
      <c r="U109" s="36"/>
      <c r="V109" s="36"/>
      <c r="W109" s="36"/>
      <c r="X109" s="36"/>
    </row>
    <row r="110" spans="1:24" ht="18" customHeight="1" x14ac:dyDescent="0.25">
      <c r="A110" s="32" t="str">
        <f t="shared" si="1"/>
        <v>Não</v>
      </c>
      <c r="B110" s="90">
        <v>105</v>
      </c>
      <c r="C110" s="196" t="str">
        <f>IF($C$2=0,"",IF(ISERROR(VLOOKUP($C$2&amp;"-"&amp;$B110,'BD Seq Op'!$C:$H,2,FALSE)),"",VLOOKUP($C$2&amp;"-"&amp;$B110,'BD Seq Op'!$C:$H,2,FALSE)))</f>
        <v/>
      </c>
      <c r="D110" s="197" t="str">
        <f>IF($C$2=0,"",IF(ISERROR(VLOOKUP($C$2&amp;"-"&amp;$B110,'BD Seq Op'!$C:$H,3,FALSE)),"",VLOOKUP($C$2&amp;"-"&amp;$B110,'BD Seq Op'!$C:$H,3,FALSE)))</f>
        <v/>
      </c>
      <c r="E110" s="197" t="str">
        <f>IF($C$2=0,"",IF(ISERROR(VLOOKUP($C$2&amp;"-"&amp;$B110,'BD Seq Op'!$C:$H,4,FALSE)),"",VLOOKUP($C$2&amp;"-"&amp;$B110,'BD Seq Op'!$C:$H,4,FALSE)))</f>
        <v/>
      </c>
      <c r="F110" s="198" t="str">
        <f>IF($C$2=0,"",IF(ISERROR(VLOOKUP($C$2&amp;"-"&amp;$B110,'BD Seq Op'!$C:$H,5,FALSE)),"",VLOOKUP($C$2&amp;"-"&amp;$B110,'BD Seq Op'!$C:$H,5,FALSE)))</f>
        <v/>
      </c>
      <c r="G110" s="36"/>
      <c r="H110" s="36"/>
      <c r="I110" s="36"/>
      <c r="J110" s="36"/>
      <c r="K110" s="36"/>
      <c r="L110" s="36"/>
      <c r="M110" s="36"/>
      <c r="O110" s="36"/>
      <c r="P110" s="36"/>
      <c r="Q110" s="36"/>
      <c r="R110" s="36"/>
      <c r="S110" s="36"/>
      <c r="T110" s="36"/>
      <c r="U110" s="36"/>
      <c r="V110" s="36"/>
      <c r="W110" s="36"/>
      <c r="X110" s="36"/>
    </row>
    <row r="111" spans="1:24" ht="18" customHeight="1" x14ac:dyDescent="0.25">
      <c r="A111" s="32" t="str">
        <f t="shared" si="1"/>
        <v>Não</v>
      </c>
      <c r="B111" s="91">
        <v>106</v>
      </c>
      <c r="C111" s="196" t="str">
        <f>IF($C$2=0,"",IF(ISERROR(VLOOKUP($C$2&amp;"-"&amp;$B111,'BD Seq Op'!$C:$H,2,FALSE)),"",VLOOKUP($C$2&amp;"-"&amp;$B111,'BD Seq Op'!$C:$H,2,FALSE)))</f>
        <v/>
      </c>
      <c r="D111" s="197" t="str">
        <f>IF($C$2=0,"",IF(ISERROR(VLOOKUP($C$2&amp;"-"&amp;$B111,'BD Seq Op'!$C:$H,3,FALSE)),"",VLOOKUP($C$2&amp;"-"&amp;$B111,'BD Seq Op'!$C:$H,3,FALSE)))</f>
        <v/>
      </c>
      <c r="E111" s="197" t="str">
        <f>IF($C$2=0,"",IF(ISERROR(VLOOKUP($C$2&amp;"-"&amp;$B111,'BD Seq Op'!$C:$H,4,FALSE)),"",VLOOKUP($C$2&amp;"-"&amp;$B111,'BD Seq Op'!$C:$H,4,FALSE)))</f>
        <v/>
      </c>
      <c r="F111" s="198" t="str">
        <f>IF($C$2=0,"",IF(ISERROR(VLOOKUP($C$2&amp;"-"&amp;$B111,'BD Seq Op'!$C:$H,5,FALSE)),"",VLOOKUP($C$2&amp;"-"&amp;$B111,'BD Seq Op'!$C:$H,5,FALSE)))</f>
        <v/>
      </c>
      <c r="G111" s="36"/>
      <c r="H111" s="36"/>
      <c r="I111" s="36"/>
      <c r="J111" s="36"/>
      <c r="K111" s="36"/>
      <c r="L111" s="36"/>
      <c r="M111" s="36"/>
      <c r="O111" s="36"/>
      <c r="P111" s="36"/>
      <c r="Q111" s="36"/>
      <c r="R111" s="36"/>
      <c r="S111" s="36"/>
      <c r="T111" s="36"/>
      <c r="U111" s="36"/>
      <c r="V111" s="36"/>
      <c r="W111" s="36"/>
      <c r="X111" s="36"/>
    </row>
    <row r="112" spans="1:24" ht="18" customHeight="1" x14ac:dyDescent="0.25">
      <c r="A112" s="32" t="str">
        <f t="shared" si="1"/>
        <v>Não</v>
      </c>
      <c r="B112" s="90">
        <v>107</v>
      </c>
      <c r="C112" s="196" t="str">
        <f>IF($C$2=0,"",IF(ISERROR(VLOOKUP($C$2&amp;"-"&amp;$B112,'BD Seq Op'!$C:$H,2,FALSE)),"",VLOOKUP($C$2&amp;"-"&amp;$B112,'BD Seq Op'!$C:$H,2,FALSE)))</f>
        <v/>
      </c>
      <c r="D112" s="197" t="str">
        <f>IF($C$2=0,"",IF(ISERROR(VLOOKUP($C$2&amp;"-"&amp;$B112,'BD Seq Op'!$C:$H,3,FALSE)),"",VLOOKUP($C$2&amp;"-"&amp;$B112,'BD Seq Op'!$C:$H,3,FALSE)))</f>
        <v/>
      </c>
      <c r="E112" s="197" t="str">
        <f>IF($C$2=0,"",IF(ISERROR(VLOOKUP($C$2&amp;"-"&amp;$B112,'BD Seq Op'!$C:$H,4,FALSE)),"",VLOOKUP($C$2&amp;"-"&amp;$B112,'BD Seq Op'!$C:$H,4,FALSE)))</f>
        <v/>
      </c>
      <c r="F112" s="198" t="str">
        <f>IF($C$2=0,"",IF(ISERROR(VLOOKUP($C$2&amp;"-"&amp;$B112,'BD Seq Op'!$C:$H,5,FALSE)),"",VLOOKUP($C$2&amp;"-"&amp;$B112,'BD Seq Op'!$C:$H,5,FALSE)))</f>
        <v/>
      </c>
      <c r="G112" s="36"/>
      <c r="H112" s="36"/>
      <c r="I112" s="36"/>
      <c r="J112" s="36"/>
      <c r="K112" s="36"/>
      <c r="L112" s="36"/>
      <c r="M112" s="36"/>
      <c r="O112" s="36"/>
      <c r="P112" s="36"/>
      <c r="Q112" s="36"/>
      <c r="R112" s="36"/>
      <c r="S112" s="36"/>
      <c r="T112" s="36"/>
      <c r="U112" s="36"/>
      <c r="V112" s="36"/>
      <c r="W112" s="36"/>
      <c r="X112" s="36"/>
    </row>
    <row r="113" spans="1:24" ht="18" customHeight="1" x14ac:dyDescent="0.25">
      <c r="A113" s="32" t="str">
        <f t="shared" si="1"/>
        <v>Não</v>
      </c>
      <c r="B113" s="91">
        <v>108</v>
      </c>
      <c r="C113" s="196" t="str">
        <f>IF($C$2=0,"",IF(ISERROR(VLOOKUP($C$2&amp;"-"&amp;$B113,'BD Seq Op'!$C:$H,2,FALSE)),"",VLOOKUP($C$2&amp;"-"&amp;$B113,'BD Seq Op'!$C:$H,2,FALSE)))</f>
        <v/>
      </c>
      <c r="D113" s="197" t="str">
        <f>IF($C$2=0,"",IF(ISERROR(VLOOKUP($C$2&amp;"-"&amp;$B113,'BD Seq Op'!$C:$H,3,FALSE)),"",VLOOKUP($C$2&amp;"-"&amp;$B113,'BD Seq Op'!$C:$H,3,FALSE)))</f>
        <v/>
      </c>
      <c r="E113" s="197" t="str">
        <f>IF($C$2=0,"",IF(ISERROR(VLOOKUP($C$2&amp;"-"&amp;$B113,'BD Seq Op'!$C:$H,4,FALSE)),"",VLOOKUP($C$2&amp;"-"&amp;$B113,'BD Seq Op'!$C:$H,4,FALSE)))</f>
        <v/>
      </c>
      <c r="F113" s="198" t="str">
        <f>IF($C$2=0,"",IF(ISERROR(VLOOKUP($C$2&amp;"-"&amp;$B113,'BD Seq Op'!$C:$H,5,FALSE)),"",VLOOKUP($C$2&amp;"-"&amp;$B113,'BD Seq Op'!$C:$H,5,FALSE)))</f>
        <v/>
      </c>
      <c r="G113" s="36"/>
      <c r="H113" s="36"/>
      <c r="I113" s="36"/>
      <c r="J113" s="36"/>
      <c r="K113" s="36"/>
      <c r="L113" s="36"/>
      <c r="M113" s="36"/>
      <c r="O113" s="36"/>
      <c r="P113" s="36"/>
      <c r="Q113" s="36"/>
      <c r="R113" s="36"/>
      <c r="S113" s="36"/>
      <c r="T113" s="36"/>
      <c r="U113" s="36"/>
      <c r="V113" s="36"/>
      <c r="W113" s="36"/>
      <c r="X113" s="36"/>
    </row>
    <row r="114" spans="1:24" ht="18" customHeight="1" x14ac:dyDescent="0.25">
      <c r="A114" s="32" t="str">
        <f t="shared" si="1"/>
        <v>Não</v>
      </c>
      <c r="B114" s="90">
        <v>109</v>
      </c>
      <c r="C114" s="196" t="str">
        <f>IF($C$2=0,"",IF(ISERROR(VLOOKUP($C$2&amp;"-"&amp;$B114,'BD Seq Op'!$C:$H,2,FALSE)),"",VLOOKUP($C$2&amp;"-"&amp;$B114,'BD Seq Op'!$C:$H,2,FALSE)))</f>
        <v/>
      </c>
      <c r="D114" s="197" t="str">
        <f>IF($C$2=0,"",IF(ISERROR(VLOOKUP($C$2&amp;"-"&amp;$B114,'BD Seq Op'!$C:$H,3,FALSE)),"",VLOOKUP($C$2&amp;"-"&amp;$B114,'BD Seq Op'!$C:$H,3,FALSE)))</f>
        <v/>
      </c>
      <c r="E114" s="197" t="str">
        <f>IF($C$2=0,"",IF(ISERROR(VLOOKUP($C$2&amp;"-"&amp;$B114,'BD Seq Op'!$C:$H,4,FALSE)),"",VLOOKUP($C$2&amp;"-"&amp;$B114,'BD Seq Op'!$C:$H,4,FALSE)))</f>
        <v/>
      </c>
      <c r="F114" s="198" t="str">
        <f>IF($C$2=0,"",IF(ISERROR(VLOOKUP($C$2&amp;"-"&amp;$B114,'BD Seq Op'!$C:$H,5,FALSE)),"",VLOOKUP($C$2&amp;"-"&amp;$B114,'BD Seq Op'!$C:$H,5,FALSE)))</f>
        <v/>
      </c>
      <c r="G114" s="36"/>
      <c r="H114" s="36"/>
      <c r="I114" s="36"/>
      <c r="J114" s="36"/>
      <c r="K114" s="36"/>
      <c r="L114" s="36"/>
      <c r="M114" s="36"/>
      <c r="O114" s="36"/>
      <c r="P114" s="36"/>
      <c r="Q114" s="36"/>
      <c r="R114" s="36"/>
      <c r="S114" s="36"/>
      <c r="T114" s="36"/>
      <c r="U114" s="36"/>
      <c r="V114" s="36"/>
      <c r="W114" s="36"/>
      <c r="X114" s="36"/>
    </row>
    <row r="115" spans="1:24" ht="18" customHeight="1" x14ac:dyDescent="0.25">
      <c r="A115" s="32" t="str">
        <f t="shared" si="1"/>
        <v>Não</v>
      </c>
      <c r="B115" s="91">
        <v>110</v>
      </c>
      <c r="C115" s="196" t="str">
        <f>IF($C$2=0,"",IF(ISERROR(VLOOKUP($C$2&amp;"-"&amp;$B115,'BD Seq Op'!$C:$H,2,FALSE)),"",VLOOKUP($C$2&amp;"-"&amp;$B115,'BD Seq Op'!$C:$H,2,FALSE)))</f>
        <v/>
      </c>
      <c r="D115" s="197" t="str">
        <f>IF($C$2=0,"",IF(ISERROR(VLOOKUP($C$2&amp;"-"&amp;$B115,'BD Seq Op'!$C:$H,3,FALSE)),"",VLOOKUP($C$2&amp;"-"&amp;$B115,'BD Seq Op'!$C:$H,3,FALSE)))</f>
        <v/>
      </c>
      <c r="E115" s="197" t="str">
        <f>IF($C$2=0,"",IF(ISERROR(VLOOKUP($C$2&amp;"-"&amp;$B115,'BD Seq Op'!$C:$H,4,FALSE)),"",VLOOKUP($C$2&amp;"-"&amp;$B115,'BD Seq Op'!$C:$H,4,FALSE)))</f>
        <v/>
      </c>
      <c r="F115" s="198" t="str">
        <f>IF($C$2=0,"",IF(ISERROR(VLOOKUP($C$2&amp;"-"&amp;$B115,'BD Seq Op'!$C:$H,5,FALSE)),"",VLOOKUP($C$2&amp;"-"&amp;$B115,'BD Seq Op'!$C:$H,5,FALSE)))</f>
        <v/>
      </c>
      <c r="G115" s="36"/>
      <c r="H115" s="36"/>
      <c r="I115" s="36"/>
      <c r="J115" s="36"/>
      <c r="K115" s="36"/>
      <c r="L115" s="36"/>
      <c r="M115" s="36"/>
      <c r="O115" s="36"/>
      <c r="P115" s="36"/>
      <c r="Q115" s="36"/>
      <c r="R115" s="36"/>
      <c r="S115" s="36"/>
      <c r="T115" s="36"/>
      <c r="U115" s="36"/>
      <c r="V115" s="36"/>
      <c r="W115" s="36"/>
      <c r="X115" s="36"/>
    </row>
    <row r="116" spans="1:24" ht="18" customHeight="1" x14ac:dyDescent="0.25">
      <c r="A116" s="32" t="str">
        <f t="shared" si="1"/>
        <v>Não</v>
      </c>
      <c r="B116" s="90">
        <v>111</v>
      </c>
      <c r="C116" s="196" t="str">
        <f>IF($C$2=0,"",IF(ISERROR(VLOOKUP($C$2&amp;"-"&amp;$B116,'BD Seq Op'!$C:$H,2,FALSE)),"",VLOOKUP($C$2&amp;"-"&amp;$B116,'BD Seq Op'!$C:$H,2,FALSE)))</f>
        <v/>
      </c>
      <c r="D116" s="197" t="str">
        <f>IF($C$2=0,"",IF(ISERROR(VLOOKUP($C$2&amp;"-"&amp;$B116,'BD Seq Op'!$C:$H,3,FALSE)),"",VLOOKUP($C$2&amp;"-"&amp;$B116,'BD Seq Op'!$C:$H,3,FALSE)))</f>
        <v/>
      </c>
      <c r="E116" s="197" t="str">
        <f>IF($C$2=0,"",IF(ISERROR(VLOOKUP($C$2&amp;"-"&amp;$B116,'BD Seq Op'!$C:$H,4,FALSE)),"",VLOOKUP($C$2&amp;"-"&amp;$B116,'BD Seq Op'!$C:$H,4,FALSE)))</f>
        <v/>
      </c>
      <c r="F116" s="198" t="str">
        <f>IF($C$2=0,"",IF(ISERROR(VLOOKUP($C$2&amp;"-"&amp;$B116,'BD Seq Op'!$C:$H,5,FALSE)),"",VLOOKUP($C$2&amp;"-"&amp;$B116,'BD Seq Op'!$C:$H,5,FALSE)))</f>
        <v/>
      </c>
      <c r="G116" s="36"/>
      <c r="H116" s="36"/>
      <c r="I116" s="36"/>
      <c r="J116" s="36"/>
      <c r="K116" s="36"/>
      <c r="L116" s="36"/>
      <c r="M116" s="36"/>
      <c r="O116" s="36"/>
      <c r="P116" s="36"/>
      <c r="Q116" s="36"/>
      <c r="R116" s="36"/>
      <c r="S116" s="36"/>
      <c r="T116" s="36"/>
      <c r="U116" s="36"/>
      <c r="V116" s="36"/>
      <c r="W116" s="36"/>
      <c r="X116" s="36"/>
    </row>
    <row r="117" spans="1:24" ht="18" customHeight="1" x14ac:dyDescent="0.25">
      <c r="A117" s="32" t="str">
        <f t="shared" si="1"/>
        <v>Não</v>
      </c>
      <c r="B117" s="91">
        <v>112</v>
      </c>
      <c r="C117" s="196" t="str">
        <f>IF($C$2=0,"",IF(ISERROR(VLOOKUP($C$2&amp;"-"&amp;$B117,'BD Seq Op'!$C:$H,2,FALSE)),"",VLOOKUP($C$2&amp;"-"&amp;$B117,'BD Seq Op'!$C:$H,2,FALSE)))</f>
        <v/>
      </c>
      <c r="D117" s="197" t="str">
        <f>IF($C$2=0,"",IF(ISERROR(VLOOKUP($C$2&amp;"-"&amp;$B117,'BD Seq Op'!$C:$H,3,FALSE)),"",VLOOKUP($C$2&amp;"-"&amp;$B117,'BD Seq Op'!$C:$H,3,FALSE)))</f>
        <v/>
      </c>
      <c r="E117" s="197" t="str">
        <f>IF($C$2=0,"",IF(ISERROR(VLOOKUP($C$2&amp;"-"&amp;$B117,'BD Seq Op'!$C:$H,4,FALSE)),"",VLOOKUP($C$2&amp;"-"&amp;$B117,'BD Seq Op'!$C:$H,4,FALSE)))</f>
        <v/>
      </c>
      <c r="F117" s="198" t="str">
        <f>IF($C$2=0,"",IF(ISERROR(VLOOKUP($C$2&amp;"-"&amp;$B117,'BD Seq Op'!$C:$H,5,FALSE)),"",VLOOKUP($C$2&amp;"-"&amp;$B117,'BD Seq Op'!$C:$H,5,FALSE)))</f>
        <v/>
      </c>
      <c r="G117" s="36"/>
      <c r="H117" s="36"/>
      <c r="I117" s="36"/>
      <c r="J117" s="36"/>
      <c r="K117" s="36"/>
      <c r="L117" s="36"/>
      <c r="M117" s="36"/>
      <c r="O117" s="36"/>
      <c r="P117" s="36"/>
      <c r="Q117" s="36"/>
      <c r="R117" s="36"/>
      <c r="S117" s="36"/>
      <c r="T117" s="36"/>
      <c r="U117" s="36"/>
      <c r="V117" s="36"/>
      <c r="W117" s="36"/>
      <c r="X117" s="36"/>
    </row>
    <row r="118" spans="1:24" ht="18" customHeight="1" x14ac:dyDescent="0.25">
      <c r="A118" s="32" t="str">
        <f t="shared" si="1"/>
        <v>Não</v>
      </c>
      <c r="B118" s="90">
        <v>113</v>
      </c>
      <c r="C118" s="196" t="str">
        <f>IF($C$2=0,"",IF(ISERROR(VLOOKUP($C$2&amp;"-"&amp;$B118,'BD Seq Op'!$C:$H,2,FALSE)),"",VLOOKUP($C$2&amp;"-"&amp;$B118,'BD Seq Op'!$C:$H,2,FALSE)))</f>
        <v/>
      </c>
      <c r="D118" s="197" t="str">
        <f>IF($C$2=0,"",IF(ISERROR(VLOOKUP($C$2&amp;"-"&amp;$B118,'BD Seq Op'!$C:$H,3,FALSE)),"",VLOOKUP($C$2&amp;"-"&amp;$B118,'BD Seq Op'!$C:$H,3,FALSE)))</f>
        <v/>
      </c>
      <c r="E118" s="197" t="str">
        <f>IF($C$2=0,"",IF(ISERROR(VLOOKUP($C$2&amp;"-"&amp;$B118,'BD Seq Op'!$C:$H,4,FALSE)),"",VLOOKUP($C$2&amp;"-"&amp;$B118,'BD Seq Op'!$C:$H,4,FALSE)))</f>
        <v/>
      </c>
      <c r="F118" s="198" t="str">
        <f>IF($C$2=0,"",IF(ISERROR(VLOOKUP($C$2&amp;"-"&amp;$B118,'BD Seq Op'!$C:$H,5,FALSE)),"",VLOOKUP($C$2&amp;"-"&amp;$B118,'BD Seq Op'!$C:$H,5,FALSE)))</f>
        <v/>
      </c>
      <c r="G118" s="36"/>
      <c r="H118" s="36"/>
      <c r="I118" s="36"/>
      <c r="J118" s="36"/>
      <c r="K118" s="36"/>
      <c r="L118" s="36"/>
      <c r="M118" s="36"/>
      <c r="O118" s="36"/>
      <c r="P118" s="36"/>
      <c r="Q118" s="36"/>
      <c r="R118" s="36"/>
      <c r="S118" s="36"/>
      <c r="T118" s="36"/>
      <c r="U118" s="36"/>
      <c r="V118" s="36"/>
      <c r="W118" s="36"/>
      <c r="X118" s="36"/>
    </row>
    <row r="119" spans="1:24" ht="18" customHeight="1" x14ac:dyDescent="0.25">
      <c r="A119" s="32" t="str">
        <f t="shared" si="1"/>
        <v>Não</v>
      </c>
      <c r="B119" s="91">
        <v>114</v>
      </c>
      <c r="C119" s="196" t="str">
        <f>IF($C$2=0,"",IF(ISERROR(VLOOKUP($C$2&amp;"-"&amp;$B119,'BD Seq Op'!$C:$H,2,FALSE)),"",VLOOKUP($C$2&amp;"-"&amp;$B119,'BD Seq Op'!$C:$H,2,FALSE)))</f>
        <v/>
      </c>
      <c r="D119" s="197" t="str">
        <f>IF($C$2=0,"",IF(ISERROR(VLOOKUP($C$2&amp;"-"&amp;$B119,'BD Seq Op'!$C:$H,3,FALSE)),"",VLOOKUP($C$2&amp;"-"&amp;$B119,'BD Seq Op'!$C:$H,3,FALSE)))</f>
        <v/>
      </c>
      <c r="E119" s="197" t="str">
        <f>IF($C$2=0,"",IF(ISERROR(VLOOKUP($C$2&amp;"-"&amp;$B119,'BD Seq Op'!$C:$H,4,FALSE)),"",VLOOKUP($C$2&amp;"-"&amp;$B119,'BD Seq Op'!$C:$H,4,FALSE)))</f>
        <v/>
      </c>
      <c r="F119" s="198" t="str">
        <f>IF($C$2=0,"",IF(ISERROR(VLOOKUP($C$2&amp;"-"&amp;$B119,'BD Seq Op'!$C:$H,5,FALSE)),"",VLOOKUP($C$2&amp;"-"&amp;$B119,'BD Seq Op'!$C:$H,5,FALSE)))</f>
        <v/>
      </c>
      <c r="G119" s="36"/>
      <c r="H119" s="36"/>
      <c r="I119" s="36"/>
      <c r="J119" s="36"/>
      <c r="K119" s="36"/>
      <c r="L119" s="36"/>
      <c r="M119" s="36"/>
      <c r="O119" s="36"/>
      <c r="P119" s="36"/>
      <c r="Q119" s="36"/>
      <c r="R119" s="36"/>
      <c r="S119" s="36"/>
      <c r="T119" s="36"/>
      <c r="U119" s="36"/>
      <c r="V119" s="36"/>
      <c r="W119" s="36"/>
      <c r="X119" s="36"/>
    </row>
    <row r="120" spans="1:24" ht="18" customHeight="1" x14ac:dyDescent="0.25">
      <c r="A120" s="32" t="str">
        <f t="shared" si="1"/>
        <v>Não</v>
      </c>
      <c r="B120" s="90">
        <v>115</v>
      </c>
      <c r="C120" s="196" t="str">
        <f>IF($C$2=0,"",IF(ISERROR(VLOOKUP($C$2&amp;"-"&amp;$B120,'BD Seq Op'!$C:$H,2,FALSE)),"",VLOOKUP($C$2&amp;"-"&amp;$B120,'BD Seq Op'!$C:$H,2,FALSE)))</f>
        <v/>
      </c>
      <c r="D120" s="197" t="str">
        <f>IF($C$2=0,"",IF(ISERROR(VLOOKUP($C$2&amp;"-"&amp;$B120,'BD Seq Op'!$C:$H,3,FALSE)),"",VLOOKUP($C$2&amp;"-"&amp;$B120,'BD Seq Op'!$C:$H,3,FALSE)))</f>
        <v/>
      </c>
      <c r="E120" s="197" t="str">
        <f>IF($C$2=0,"",IF(ISERROR(VLOOKUP($C$2&amp;"-"&amp;$B120,'BD Seq Op'!$C:$H,4,FALSE)),"",VLOOKUP($C$2&amp;"-"&amp;$B120,'BD Seq Op'!$C:$H,4,FALSE)))</f>
        <v/>
      </c>
      <c r="F120" s="198" t="str">
        <f>IF($C$2=0,"",IF(ISERROR(VLOOKUP($C$2&amp;"-"&amp;$B120,'BD Seq Op'!$C:$H,5,FALSE)),"",VLOOKUP($C$2&amp;"-"&amp;$B120,'BD Seq Op'!$C:$H,5,FALSE)))</f>
        <v/>
      </c>
      <c r="G120" s="36"/>
      <c r="H120" s="36"/>
      <c r="I120" s="36"/>
      <c r="J120" s="36"/>
      <c r="K120" s="36"/>
      <c r="L120" s="36"/>
      <c r="M120" s="36"/>
      <c r="O120" s="36"/>
      <c r="P120" s="36"/>
      <c r="Q120" s="36"/>
      <c r="R120" s="36"/>
      <c r="S120" s="36"/>
      <c r="T120" s="36"/>
      <c r="U120" s="36"/>
      <c r="V120" s="36"/>
      <c r="W120" s="36"/>
      <c r="X120" s="36"/>
    </row>
    <row r="121" spans="1:24" ht="18" customHeight="1" x14ac:dyDescent="0.25">
      <c r="A121" s="32" t="str">
        <f t="shared" si="1"/>
        <v>Não</v>
      </c>
      <c r="B121" s="91">
        <v>116</v>
      </c>
      <c r="C121" s="196" t="str">
        <f>IF($C$2=0,"",IF(ISERROR(VLOOKUP($C$2&amp;"-"&amp;$B121,'BD Seq Op'!$C:$H,2,FALSE)),"",VLOOKUP($C$2&amp;"-"&amp;$B121,'BD Seq Op'!$C:$H,2,FALSE)))</f>
        <v/>
      </c>
      <c r="D121" s="197" t="str">
        <f>IF($C$2=0,"",IF(ISERROR(VLOOKUP($C$2&amp;"-"&amp;$B121,'BD Seq Op'!$C:$H,3,FALSE)),"",VLOOKUP($C$2&amp;"-"&amp;$B121,'BD Seq Op'!$C:$H,3,FALSE)))</f>
        <v/>
      </c>
      <c r="E121" s="197" t="str">
        <f>IF($C$2=0,"",IF(ISERROR(VLOOKUP($C$2&amp;"-"&amp;$B121,'BD Seq Op'!$C:$H,4,FALSE)),"",VLOOKUP($C$2&amp;"-"&amp;$B121,'BD Seq Op'!$C:$H,4,FALSE)))</f>
        <v/>
      </c>
      <c r="F121" s="198" t="str">
        <f>IF($C$2=0,"",IF(ISERROR(VLOOKUP($C$2&amp;"-"&amp;$B121,'BD Seq Op'!$C:$H,5,FALSE)),"",VLOOKUP($C$2&amp;"-"&amp;$B121,'BD Seq Op'!$C:$H,5,FALSE)))</f>
        <v/>
      </c>
      <c r="G121" s="36"/>
      <c r="H121" s="36"/>
      <c r="I121" s="36"/>
      <c r="J121" s="36"/>
      <c r="K121" s="36"/>
      <c r="L121" s="36"/>
      <c r="M121" s="36"/>
      <c r="O121" s="36"/>
      <c r="P121" s="36"/>
      <c r="Q121" s="36"/>
      <c r="R121" s="36"/>
      <c r="S121" s="36"/>
      <c r="T121" s="36"/>
      <c r="U121" s="36"/>
      <c r="V121" s="36"/>
      <c r="W121" s="36"/>
      <c r="X121" s="36"/>
    </row>
    <row r="122" spans="1:24" ht="18" customHeight="1" x14ac:dyDescent="0.25">
      <c r="A122" s="32" t="str">
        <f t="shared" si="1"/>
        <v>Não</v>
      </c>
      <c r="B122" s="90">
        <v>117</v>
      </c>
      <c r="C122" s="196" t="str">
        <f>IF($C$2=0,"",IF(ISERROR(VLOOKUP($C$2&amp;"-"&amp;$B122,'BD Seq Op'!$C:$H,2,FALSE)),"",VLOOKUP($C$2&amp;"-"&amp;$B122,'BD Seq Op'!$C:$H,2,FALSE)))</f>
        <v/>
      </c>
      <c r="D122" s="197" t="str">
        <f>IF($C$2=0,"",IF(ISERROR(VLOOKUP($C$2&amp;"-"&amp;$B122,'BD Seq Op'!$C:$H,3,FALSE)),"",VLOOKUP($C$2&amp;"-"&amp;$B122,'BD Seq Op'!$C:$H,3,FALSE)))</f>
        <v/>
      </c>
      <c r="E122" s="197" t="str">
        <f>IF($C$2=0,"",IF(ISERROR(VLOOKUP($C$2&amp;"-"&amp;$B122,'BD Seq Op'!$C:$H,4,FALSE)),"",VLOOKUP($C$2&amp;"-"&amp;$B122,'BD Seq Op'!$C:$H,4,FALSE)))</f>
        <v/>
      </c>
      <c r="F122" s="198" t="str">
        <f>IF($C$2=0,"",IF(ISERROR(VLOOKUP($C$2&amp;"-"&amp;$B122,'BD Seq Op'!$C:$H,5,FALSE)),"",VLOOKUP($C$2&amp;"-"&amp;$B122,'BD Seq Op'!$C:$H,5,FALSE)))</f>
        <v/>
      </c>
      <c r="G122" s="36"/>
      <c r="H122" s="36"/>
      <c r="I122" s="36"/>
      <c r="J122" s="36"/>
      <c r="K122" s="36"/>
      <c r="L122" s="36"/>
      <c r="M122" s="36"/>
      <c r="O122" s="36"/>
      <c r="P122" s="36"/>
      <c r="Q122" s="36"/>
      <c r="R122" s="36"/>
      <c r="S122" s="36"/>
      <c r="T122" s="36"/>
      <c r="U122" s="36"/>
      <c r="V122" s="36"/>
      <c r="W122" s="36"/>
      <c r="X122" s="36"/>
    </row>
    <row r="123" spans="1:24" ht="18" customHeight="1" x14ac:dyDescent="0.25">
      <c r="A123" s="32" t="str">
        <f t="shared" si="1"/>
        <v>Não</v>
      </c>
      <c r="B123" s="91">
        <v>118</v>
      </c>
      <c r="C123" s="196" t="str">
        <f>IF($C$2=0,"",IF(ISERROR(VLOOKUP($C$2&amp;"-"&amp;$B123,'BD Seq Op'!$C:$H,2,FALSE)),"",VLOOKUP($C$2&amp;"-"&amp;$B123,'BD Seq Op'!$C:$H,2,FALSE)))</f>
        <v/>
      </c>
      <c r="D123" s="197" t="str">
        <f>IF($C$2=0,"",IF(ISERROR(VLOOKUP($C$2&amp;"-"&amp;$B123,'BD Seq Op'!$C:$H,3,FALSE)),"",VLOOKUP($C$2&amp;"-"&amp;$B123,'BD Seq Op'!$C:$H,3,FALSE)))</f>
        <v/>
      </c>
      <c r="E123" s="197" t="str">
        <f>IF($C$2=0,"",IF(ISERROR(VLOOKUP($C$2&amp;"-"&amp;$B123,'BD Seq Op'!$C:$H,4,FALSE)),"",VLOOKUP($C$2&amp;"-"&amp;$B123,'BD Seq Op'!$C:$H,4,FALSE)))</f>
        <v/>
      </c>
      <c r="F123" s="198" t="str">
        <f>IF($C$2=0,"",IF(ISERROR(VLOOKUP($C$2&amp;"-"&amp;$B123,'BD Seq Op'!$C:$H,5,FALSE)),"",VLOOKUP($C$2&amp;"-"&amp;$B123,'BD Seq Op'!$C:$H,5,FALSE)))</f>
        <v/>
      </c>
      <c r="G123" s="36"/>
      <c r="H123" s="36"/>
      <c r="I123" s="36"/>
      <c r="J123" s="36"/>
      <c r="K123" s="36"/>
      <c r="L123" s="36"/>
      <c r="M123" s="36"/>
      <c r="O123" s="36"/>
      <c r="P123" s="36"/>
      <c r="Q123" s="36"/>
      <c r="R123" s="36"/>
      <c r="S123" s="36"/>
      <c r="T123" s="36"/>
      <c r="U123" s="36"/>
      <c r="V123" s="36"/>
      <c r="W123" s="36"/>
      <c r="X123" s="36"/>
    </row>
    <row r="124" spans="1:24" ht="18" customHeight="1" x14ac:dyDescent="0.25">
      <c r="A124" s="32" t="str">
        <f t="shared" si="1"/>
        <v>Não</v>
      </c>
      <c r="B124" s="90">
        <v>119</v>
      </c>
      <c r="C124" s="196" t="str">
        <f>IF($C$2=0,"",IF(ISERROR(VLOOKUP($C$2&amp;"-"&amp;$B124,'BD Seq Op'!$C:$H,2,FALSE)),"",VLOOKUP($C$2&amp;"-"&amp;$B124,'BD Seq Op'!$C:$H,2,FALSE)))</f>
        <v/>
      </c>
      <c r="D124" s="197" t="str">
        <f>IF($C$2=0,"",IF(ISERROR(VLOOKUP($C$2&amp;"-"&amp;$B124,'BD Seq Op'!$C:$H,3,FALSE)),"",VLOOKUP($C$2&amp;"-"&amp;$B124,'BD Seq Op'!$C:$H,3,FALSE)))</f>
        <v/>
      </c>
      <c r="E124" s="197" t="str">
        <f>IF($C$2=0,"",IF(ISERROR(VLOOKUP($C$2&amp;"-"&amp;$B124,'BD Seq Op'!$C:$H,4,FALSE)),"",VLOOKUP($C$2&amp;"-"&amp;$B124,'BD Seq Op'!$C:$H,4,FALSE)))</f>
        <v/>
      </c>
      <c r="F124" s="198" t="str">
        <f>IF($C$2=0,"",IF(ISERROR(VLOOKUP($C$2&amp;"-"&amp;$B124,'BD Seq Op'!$C:$H,5,FALSE)),"",VLOOKUP($C$2&amp;"-"&amp;$B124,'BD Seq Op'!$C:$H,5,FALSE)))</f>
        <v/>
      </c>
      <c r="G124" s="36"/>
      <c r="H124" s="36"/>
      <c r="I124" s="36"/>
      <c r="J124" s="36"/>
      <c r="K124" s="36"/>
      <c r="L124" s="36"/>
      <c r="M124" s="36"/>
      <c r="O124" s="36"/>
      <c r="P124" s="36"/>
      <c r="Q124" s="36"/>
      <c r="R124" s="36"/>
      <c r="S124" s="36"/>
      <c r="T124" s="36"/>
      <c r="U124" s="36"/>
      <c r="V124" s="36"/>
      <c r="W124" s="36"/>
      <c r="X124" s="36"/>
    </row>
    <row r="125" spans="1:24" ht="18" customHeight="1" x14ac:dyDescent="0.25">
      <c r="A125" s="32" t="str">
        <f t="shared" si="1"/>
        <v>Não</v>
      </c>
      <c r="B125" s="91">
        <v>120</v>
      </c>
      <c r="C125" s="196" t="str">
        <f>IF($C$2=0,"",IF(ISERROR(VLOOKUP($C$2&amp;"-"&amp;$B125,'BD Seq Op'!$C:$H,2,FALSE)),"",VLOOKUP($C$2&amp;"-"&amp;$B125,'BD Seq Op'!$C:$H,2,FALSE)))</f>
        <v/>
      </c>
      <c r="D125" s="197" t="str">
        <f>IF($C$2=0,"",IF(ISERROR(VLOOKUP($C$2&amp;"-"&amp;$B125,'BD Seq Op'!$C:$H,3,FALSE)),"",VLOOKUP($C$2&amp;"-"&amp;$B125,'BD Seq Op'!$C:$H,3,FALSE)))</f>
        <v/>
      </c>
      <c r="E125" s="197" t="str">
        <f>IF($C$2=0,"",IF(ISERROR(VLOOKUP($C$2&amp;"-"&amp;$B125,'BD Seq Op'!$C:$H,4,FALSE)),"",VLOOKUP($C$2&amp;"-"&amp;$B125,'BD Seq Op'!$C:$H,4,FALSE)))</f>
        <v/>
      </c>
      <c r="F125" s="198" t="str">
        <f>IF($C$2=0,"",IF(ISERROR(VLOOKUP($C$2&amp;"-"&amp;$B125,'BD Seq Op'!$C:$H,5,FALSE)),"",VLOOKUP($C$2&amp;"-"&amp;$B125,'BD Seq Op'!$C:$H,5,FALSE)))</f>
        <v/>
      </c>
      <c r="G125" s="36"/>
      <c r="H125" s="36"/>
      <c r="I125" s="36"/>
      <c r="J125" s="36"/>
      <c r="K125" s="36"/>
      <c r="L125" s="36"/>
      <c r="M125" s="36"/>
      <c r="O125" s="36"/>
      <c r="P125" s="36"/>
      <c r="Q125" s="36"/>
      <c r="R125" s="36"/>
      <c r="S125" s="36"/>
      <c r="T125" s="36"/>
      <c r="U125" s="36"/>
      <c r="V125" s="36"/>
      <c r="W125" s="36"/>
      <c r="X125" s="36"/>
    </row>
    <row r="126" spans="1:24" ht="18" customHeight="1" x14ac:dyDescent="0.25">
      <c r="A126" s="33" t="s">
        <v>22</v>
      </c>
      <c r="B126" s="36"/>
      <c r="C126" s="36"/>
      <c r="D126" s="85"/>
      <c r="E126" s="85" t="s">
        <v>6</v>
      </c>
      <c r="F126" s="199">
        <f>SUM(F6:F125)</f>
        <v>0</v>
      </c>
      <c r="G126" s="36"/>
      <c r="H126" s="36"/>
      <c r="I126" s="36"/>
      <c r="J126" s="36"/>
      <c r="K126" s="36"/>
      <c r="L126" s="36"/>
      <c r="M126" s="36"/>
      <c r="O126" s="36"/>
      <c r="P126" s="36"/>
      <c r="Q126" s="36"/>
      <c r="R126" s="36"/>
      <c r="S126" s="36"/>
      <c r="T126" s="36"/>
      <c r="U126" s="36"/>
      <c r="V126" s="36"/>
      <c r="W126" s="36"/>
      <c r="X126" s="36"/>
    </row>
    <row r="127" spans="1:24" x14ac:dyDescent="0.25">
      <c r="B127" s="36"/>
      <c r="C127" s="36"/>
      <c r="D127" s="36"/>
      <c r="E127" s="36"/>
      <c r="F127" s="36"/>
      <c r="G127" s="36"/>
      <c r="H127" s="36"/>
      <c r="I127" s="36"/>
      <c r="J127" s="36"/>
      <c r="K127" s="36"/>
      <c r="L127" s="36"/>
      <c r="M127" s="36"/>
      <c r="O127" s="36"/>
      <c r="P127" s="36"/>
      <c r="Q127" s="36"/>
      <c r="R127" s="36"/>
      <c r="S127" s="36"/>
      <c r="T127" s="36"/>
      <c r="U127" s="36"/>
      <c r="V127" s="36"/>
      <c r="W127" s="36"/>
      <c r="X127" s="36"/>
    </row>
    <row r="128" spans="1:24" x14ac:dyDescent="0.25">
      <c r="B128" s="36"/>
      <c r="C128" s="36"/>
      <c r="D128" s="36"/>
      <c r="E128" s="36"/>
      <c r="F128" s="36"/>
      <c r="G128" s="36"/>
      <c r="H128" s="36"/>
      <c r="I128" s="36"/>
      <c r="J128" s="36"/>
      <c r="K128" s="36"/>
      <c r="L128" s="36"/>
      <c r="M128" s="36"/>
      <c r="O128" s="36"/>
      <c r="P128" s="36"/>
      <c r="Q128" s="36"/>
      <c r="R128" s="36"/>
      <c r="S128" s="36"/>
      <c r="T128" s="36"/>
      <c r="U128" s="36"/>
      <c r="V128" s="36"/>
      <c r="W128" s="36"/>
      <c r="X128" s="36"/>
    </row>
    <row r="129" spans="2:24" x14ac:dyDescent="0.25">
      <c r="B129" s="36"/>
      <c r="C129" s="36"/>
      <c r="D129" s="36"/>
      <c r="E129" s="36"/>
      <c r="F129" s="36"/>
      <c r="G129" s="36"/>
      <c r="H129" s="36"/>
      <c r="I129" s="36"/>
      <c r="J129" s="36"/>
      <c r="K129" s="36"/>
      <c r="L129" s="36"/>
      <c r="M129" s="36"/>
      <c r="O129" s="36"/>
      <c r="P129" s="36"/>
      <c r="Q129" s="36"/>
      <c r="R129" s="36"/>
      <c r="S129" s="36"/>
      <c r="T129" s="36"/>
      <c r="U129" s="36"/>
      <c r="V129" s="36"/>
      <c r="W129" s="36"/>
      <c r="X129" s="36"/>
    </row>
    <row r="130" spans="2:24" ht="0.2" customHeight="1" x14ac:dyDescent="0.25">
      <c r="B130" s="36"/>
      <c r="C130" s="36"/>
      <c r="D130" s="41" t="str">
        <f>IF(C130=0,"",IF(ISERROR(VLOOKUP(C130,Operações!A:D,2,FALSE)),"-",VLOOKUP(C130,Operações!A:D,2,FALSE)))</f>
        <v/>
      </c>
      <c r="E130" s="41" t="str">
        <f>IF(C130=0,"",IF(ISERROR(VLOOKUP(C130,Operações!A:D,3,FALSE)),"-",VLOOKUP(C130,Operações!A:D,3,FALSE)))</f>
        <v/>
      </c>
      <c r="F130" s="92" t="str">
        <f>IF(C130=0,"",IF(ISERROR(VLOOKUP(C130,Operações!A:D,4,FALSE)),"-",VLOOKUP(C130,Operações!A:D,4,FALSE)))</f>
        <v/>
      </c>
      <c r="G130" s="36"/>
      <c r="H130" s="36"/>
      <c r="I130" s="36"/>
      <c r="J130" s="36"/>
      <c r="K130" s="36"/>
      <c r="L130" s="36"/>
      <c r="M130" s="36"/>
      <c r="O130" s="36"/>
      <c r="P130" s="36"/>
      <c r="Q130" s="36"/>
      <c r="R130" s="36"/>
      <c r="S130" s="36"/>
      <c r="T130" s="36"/>
      <c r="U130" s="36"/>
      <c r="V130" s="36"/>
      <c r="W130" s="36"/>
      <c r="X130" s="36"/>
    </row>
    <row r="131" spans="2:24" x14ac:dyDescent="0.25">
      <c r="B131" s="36"/>
      <c r="C131" s="36"/>
      <c r="D131" s="36"/>
      <c r="E131" s="36"/>
      <c r="F131" s="36"/>
      <c r="G131" s="36"/>
      <c r="H131" s="36"/>
      <c r="I131" s="36"/>
      <c r="J131" s="36"/>
      <c r="K131" s="36"/>
      <c r="L131" s="36"/>
      <c r="M131" s="36"/>
      <c r="O131" s="36"/>
      <c r="P131" s="36"/>
      <c r="Q131" s="36"/>
      <c r="R131" s="36"/>
      <c r="S131" s="36"/>
      <c r="T131" s="36"/>
      <c r="U131" s="36"/>
      <c r="V131" s="36"/>
      <c r="W131" s="36"/>
      <c r="X131" s="36"/>
    </row>
    <row r="132" spans="2:24" x14ac:dyDescent="0.25">
      <c r="B132" s="36"/>
      <c r="C132" s="36"/>
      <c r="D132" s="36"/>
      <c r="E132" s="36"/>
      <c r="F132" s="36"/>
      <c r="G132" s="36"/>
      <c r="H132" s="36"/>
      <c r="I132" s="36"/>
      <c r="J132" s="36"/>
      <c r="K132" s="36"/>
      <c r="L132" s="36"/>
      <c r="M132" s="36"/>
      <c r="O132" s="36"/>
      <c r="P132" s="36"/>
      <c r="Q132" s="36"/>
      <c r="R132" s="36"/>
      <c r="S132" s="36"/>
      <c r="T132" s="36"/>
      <c r="U132" s="36"/>
      <c r="V132" s="36"/>
      <c r="W132" s="36"/>
      <c r="X132" s="36"/>
    </row>
    <row r="133" spans="2:24" x14ac:dyDescent="0.25">
      <c r="B133" s="36"/>
      <c r="C133" s="36"/>
      <c r="D133" s="36"/>
      <c r="E133" s="36"/>
      <c r="F133" s="36"/>
      <c r="G133" s="36"/>
      <c r="H133" s="36"/>
      <c r="I133" s="36"/>
      <c r="J133" s="36"/>
      <c r="K133" s="36"/>
      <c r="L133" s="36"/>
      <c r="M133" s="36"/>
      <c r="O133" s="36"/>
      <c r="P133" s="36"/>
      <c r="Q133" s="36"/>
      <c r="R133" s="36"/>
      <c r="S133" s="36"/>
      <c r="T133" s="36"/>
      <c r="U133" s="36"/>
      <c r="V133" s="36"/>
      <c r="W133" s="36"/>
      <c r="X133" s="36"/>
    </row>
    <row r="134" spans="2:24" x14ac:dyDescent="0.25">
      <c r="B134" s="36"/>
      <c r="C134" s="36"/>
      <c r="D134" s="36"/>
      <c r="E134" s="36"/>
      <c r="F134" s="36"/>
      <c r="G134" s="36"/>
      <c r="H134" s="36"/>
      <c r="I134" s="36"/>
      <c r="J134" s="36"/>
      <c r="K134" s="36"/>
      <c r="L134" s="36"/>
      <c r="M134" s="36"/>
      <c r="O134" s="36"/>
      <c r="P134" s="36"/>
      <c r="Q134" s="36"/>
      <c r="R134" s="36"/>
      <c r="S134" s="36"/>
      <c r="T134" s="36"/>
      <c r="U134" s="36"/>
      <c r="V134" s="36"/>
      <c r="W134" s="36"/>
      <c r="X134" s="36"/>
    </row>
    <row r="135" spans="2:24" x14ac:dyDescent="0.25">
      <c r="B135" s="36"/>
      <c r="C135" s="36"/>
      <c r="D135" s="36"/>
      <c r="E135" s="36"/>
      <c r="F135" s="36"/>
      <c r="G135" s="36"/>
      <c r="H135" s="36"/>
      <c r="I135" s="36"/>
      <c r="J135" s="36"/>
      <c r="K135" s="36"/>
      <c r="L135" s="36"/>
      <c r="M135" s="36"/>
      <c r="O135" s="36"/>
      <c r="P135" s="36"/>
      <c r="Q135" s="36"/>
      <c r="R135" s="36"/>
      <c r="S135" s="36"/>
      <c r="T135" s="36"/>
      <c r="U135" s="36"/>
      <c r="V135" s="36"/>
      <c r="W135" s="36"/>
      <c r="X135" s="36"/>
    </row>
    <row r="136" spans="2:24" x14ac:dyDescent="0.25">
      <c r="B136" s="36"/>
      <c r="C136" s="36"/>
      <c r="D136" s="36"/>
      <c r="E136" s="36"/>
      <c r="F136" s="36"/>
      <c r="G136" s="36"/>
      <c r="H136" s="36"/>
      <c r="I136" s="36"/>
      <c r="J136" s="36"/>
      <c r="K136" s="36"/>
      <c r="L136" s="36"/>
      <c r="M136" s="36"/>
      <c r="O136" s="36"/>
      <c r="P136" s="36"/>
      <c r="Q136" s="36"/>
      <c r="R136" s="36"/>
      <c r="S136" s="36"/>
      <c r="T136" s="36"/>
      <c r="U136" s="36"/>
      <c r="V136" s="36"/>
      <c r="W136" s="36"/>
      <c r="X136" s="36"/>
    </row>
    <row r="137" spans="2:24" x14ac:dyDescent="0.25">
      <c r="B137" s="36"/>
      <c r="C137" s="36"/>
      <c r="D137" s="36"/>
      <c r="E137" s="36"/>
      <c r="F137" s="36"/>
      <c r="G137" s="36"/>
      <c r="H137" s="36"/>
      <c r="I137" s="36"/>
      <c r="J137" s="36"/>
      <c r="K137" s="36"/>
      <c r="L137" s="36"/>
      <c r="M137" s="36"/>
      <c r="O137" s="36"/>
      <c r="P137" s="36"/>
      <c r="Q137" s="36"/>
      <c r="R137" s="36"/>
      <c r="S137" s="36"/>
      <c r="T137" s="36"/>
      <c r="U137" s="36"/>
      <c r="V137" s="36"/>
      <c r="W137" s="36"/>
      <c r="X137" s="36"/>
    </row>
    <row r="138" spans="2:24" x14ac:dyDescent="0.25">
      <c r="B138" s="36"/>
      <c r="C138" s="36"/>
      <c r="D138" s="36"/>
      <c r="E138" s="36"/>
      <c r="F138" s="36"/>
      <c r="G138" s="36"/>
      <c r="H138" s="36"/>
      <c r="I138" s="36"/>
      <c r="J138" s="36"/>
      <c r="K138" s="36"/>
      <c r="L138" s="36"/>
      <c r="M138" s="36"/>
      <c r="O138" s="36"/>
      <c r="P138" s="36"/>
      <c r="Q138" s="36"/>
      <c r="R138" s="36"/>
      <c r="S138" s="36"/>
      <c r="T138" s="36"/>
      <c r="U138" s="36"/>
      <c r="V138" s="36"/>
      <c r="W138" s="36"/>
      <c r="X138" s="36"/>
    </row>
    <row r="139" spans="2:24" x14ac:dyDescent="0.25">
      <c r="B139" s="36"/>
      <c r="C139" s="36"/>
      <c r="D139" s="36"/>
      <c r="E139" s="36"/>
      <c r="F139" s="36"/>
      <c r="G139" s="36"/>
      <c r="H139" s="36"/>
      <c r="I139" s="36"/>
      <c r="J139" s="36"/>
      <c r="K139" s="36"/>
      <c r="L139" s="36"/>
      <c r="M139" s="36"/>
      <c r="O139" s="36"/>
      <c r="P139" s="36"/>
      <c r="Q139" s="36"/>
      <c r="R139" s="36"/>
      <c r="S139" s="36"/>
      <c r="T139" s="36"/>
      <c r="U139" s="36"/>
      <c r="V139" s="36"/>
      <c r="W139" s="36"/>
      <c r="X139" s="36"/>
    </row>
    <row r="140" spans="2:24" x14ac:dyDescent="0.25">
      <c r="B140" s="36"/>
      <c r="C140" s="36"/>
      <c r="D140" s="36"/>
      <c r="E140" s="36"/>
      <c r="F140" s="36"/>
      <c r="G140" s="36"/>
      <c r="H140" s="36"/>
      <c r="I140" s="36"/>
      <c r="J140" s="36"/>
      <c r="K140" s="36"/>
      <c r="L140" s="36"/>
      <c r="M140" s="36"/>
      <c r="O140" s="36"/>
      <c r="P140" s="36"/>
      <c r="Q140" s="36"/>
      <c r="R140" s="36"/>
      <c r="S140" s="36"/>
      <c r="T140" s="36"/>
      <c r="U140" s="36"/>
      <c r="V140" s="36"/>
      <c r="W140" s="36"/>
      <c r="X140" s="36"/>
    </row>
    <row r="141" spans="2:24" x14ac:dyDescent="0.25">
      <c r="B141" s="36"/>
      <c r="C141" s="36"/>
      <c r="D141" s="36"/>
      <c r="E141" s="36"/>
      <c r="F141" s="36"/>
      <c r="G141" s="36"/>
      <c r="H141" s="36"/>
      <c r="I141" s="36"/>
      <c r="J141" s="36"/>
      <c r="K141" s="36"/>
      <c r="L141" s="36"/>
      <c r="M141" s="36"/>
      <c r="O141" s="36"/>
      <c r="P141" s="36"/>
      <c r="Q141" s="36"/>
      <c r="R141" s="36"/>
      <c r="S141" s="36"/>
      <c r="T141" s="36"/>
      <c r="U141" s="36"/>
      <c r="V141" s="36"/>
      <c r="W141" s="36"/>
      <c r="X141" s="36"/>
    </row>
    <row r="142" spans="2:24" x14ac:dyDescent="0.25">
      <c r="B142" s="36"/>
      <c r="C142" s="36"/>
      <c r="D142" s="36"/>
      <c r="E142" s="36"/>
      <c r="F142" s="36"/>
      <c r="G142" s="36"/>
      <c r="H142" s="36"/>
      <c r="I142" s="36"/>
      <c r="J142" s="36"/>
      <c r="K142" s="36"/>
      <c r="L142" s="36"/>
      <c r="M142" s="36"/>
      <c r="O142" s="36"/>
      <c r="P142" s="36"/>
      <c r="Q142" s="36"/>
      <c r="R142" s="36"/>
      <c r="S142" s="36"/>
      <c r="T142" s="36"/>
      <c r="U142" s="36"/>
      <c r="V142" s="36"/>
      <c r="W142" s="36"/>
      <c r="X142" s="36"/>
    </row>
    <row r="143" spans="2:24" x14ac:dyDescent="0.25">
      <c r="B143" s="36"/>
      <c r="C143" s="36"/>
      <c r="D143" s="36"/>
      <c r="E143" s="36"/>
      <c r="F143" s="36"/>
      <c r="G143" s="36"/>
      <c r="H143" s="36"/>
      <c r="I143" s="36"/>
      <c r="J143" s="36"/>
      <c r="K143" s="36"/>
      <c r="L143" s="36"/>
      <c r="M143" s="36"/>
      <c r="O143" s="36"/>
      <c r="P143" s="36"/>
      <c r="Q143" s="36"/>
      <c r="R143" s="36"/>
      <c r="S143" s="36"/>
      <c r="T143" s="36"/>
      <c r="U143" s="36"/>
      <c r="V143" s="36"/>
      <c r="W143" s="36"/>
      <c r="X143" s="36"/>
    </row>
    <row r="144" spans="2:24" x14ac:dyDescent="0.25">
      <c r="B144" s="36"/>
      <c r="C144" s="36"/>
      <c r="D144" s="36"/>
      <c r="E144" s="36"/>
      <c r="F144" s="36"/>
      <c r="G144" s="36"/>
      <c r="H144" s="36"/>
      <c r="I144" s="36"/>
      <c r="J144" s="36"/>
      <c r="K144" s="36"/>
      <c r="L144" s="36"/>
      <c r="M144" s="36"/>
      <c r="O144" s="36"/>
      <c r="P144" s="36"/>
      <c r="Q144" s="36"/>
      <c r="R144" s="36"/>
      <c r="S144" s="36"/>
      <c r="T144" s="36"/>
      <c r="U144" s="36"/>
      <c r="V144" s="36"/>
      <c r="W144" s="36"/>
      <c r="X144" s="36"/>
    </row>
    <row r="145" spans="2:24" x14ac:dyDescent="0.25">
      <c r="B145" s="36"/>
      <c r="C145" s="36"/>
      <c r="D145" s="36"/>
      <c r="E145" s="36"/>
      <c r="F145" s="36"/>
      <c r="G145" s="36"/>
      <c r="H145" s="36"/>
      <c r="I145" s="36"/>
      <c r="J145" s="36"/>
      <c r="K145" s="36"/>
      <c r="L145" s="36"/>
      <c r="M145" s="36"/>
      <c r="O145" s="36"/>
      <c r="P145" s="36"/>
      <c r="Q145" s="36"/>
      <c r="R145" s="36"/>
      <c r="S145" s="36"/>
      <c r="T145" s="36"/>
      <c r="U145" s="36"/>
      <c r="V145" s="36"/>
      <c r="W145" s="36"/>
      <c r="X145" s="36"/>
    </row>
    <row r="146" spans="2:24" x14ac:dyDescent="0.25">
      <c r="B146" s="36"/>
      <c r="C146" s="36"/>
      <c r="D146" s="36"/>
      <c r="E146" s="36"/>
      <c r="F146" s="36"/>
      <c r="G146" s="36"/>
      <c r="H146" s="36"/>
      <c r="I146" s="36"/>
      <c r="J146" s="36"/>
      <c r="K146" s="36"/>
      <c r="L146" s="36"/>
      <c r="M146" s="36"/>
      <c r="O146" s="36"/>
      <c r="P146" s="36"/>
      <c r="Q146" s="36"/>
      <c r="R146" s="36"/>
      <c r="S146" s="36"/>
      <c r="T146" s="36"/>
      <c r="U146" s="36"/>
      <c r="V146" s="36"/>
      <c r="W146" s="36"/>
      <c r="X146" s="36"/>
    </row>
    <row r="147" spans="2:24" x14ac:dyDescent="0.25">
      <c r="B147" s="36"/>
      <c r="C147" s="36"/>
      <c r="D147" s="36"/>
      <c r="E147" s="36"/>
      <c r="F147" s="36"/>
      <c r="G147" s="36"/>
      <c r="H147" s="36"/>
      <c r="I147" s="36"/>
      <c r="J147" s="36"/>
      <c r="K147" s="36"/>
      <c r="L147" s="36"/>
      <c r="M147" s="36"/>
      <c r="O147" s="36"/>
      <c r="P147" s="36"/>
      <c r="Q147" s="36"/>
      <c r="R147" s="36"/>
      <c r="S147" s="36"/>
      <c r="T147" s="36"/>
      <c r="U147" s="36"/>
      <c r="V147" s="36"/>
      <c r="W147" s="36"/>
      <c r="X147" s="36"/>
    </row>
    <row r="148" spans="2:24" x14ac:dyDescent="0.25">
      <c r="B148" s="36"/>
      <c r="C148" s="36"/>
      <c r="D148" s="36"/>
      <c r="E148" s="36"/>
      <c r="F148" s="36"/>
      <c r="G148" s="36"/>
      <c r="H148" s="36"/>
      <c r="I148" s="36"/>
      <c r="J148" s="36"/>
      <c r="K148" s="36"/>
      <c r="L148" s="36"/>
      <c r="M148" s="36"/>
      <c r="O148" s="36"/>
      <c r="P148" s="36"/>
      <c r="Q148" s="36"/>
      <c r="R148" s="36"/>
      <c r="S148" s="36"/>
      <c r="T148" s="36"/>
      <c r="U148" s="36"/>
      <c r="V148" s="36"/>
      <c r="W148" s="36"/>
      <c r="X148" s="36"/>
    </row>
  </sheetData>
  <sheetProtection sheet="1" objects="1" scenarios="1" autoFilter="0"/>
  <autoFilter ref="A4:F126" xr:uid="{00000000-0009-0000-0000-000003000000}"/>
  <mergeCells count="1">
    <mergeCell ref="C3:F3"/>
  </mergeCells>
  <conditionalFormatting sqref="D130:F130">
    <cfRule type="cellIs" dxfId="20" priority="3" operator="equal">
      <formula>"-"</formula>
    </cfRule>
  </conditionalFormatting>
  <conditionalFormatting sqref="D2:E2">
    <cfRule type="expression" dxfId="19" priority="2">
      <formula>$N$1="Não cadastrada."</formula>
    </cfRule>
  </conditionalFormatting>
  <conditionalFormatting sqref="C2">
    <cfRule type="expression" dxfId="18" priority="1">
      <formula>$N$1="Não cadastrada."</formula>
    </cfRule>
  </conditionalFormatting>
  <dataValidations count="3">
    <dataValidation type="list" showInputMessage="1" showErrorMessage="1" errorTitle="REFERÊNCIA NÃO CADASTRADA!" error="Clique sobre a célula para buscar uma Referência já cadastrada (para localizar use a barra de rolagem) ou cadastre esta Referência." sqref="C2" xr:uid="{00000000-0002-0000-0300-000000000000}">
      <formula1>Referência</formula1>
    </dataValidation>
    <dataValidation type="list" errorStyle="warning" showInputMessage="1" sqref="E130" xr:uid="{00000000-0002-0000-0300-000001000000}">
      <formula1>Aparelho</formula1>
    </dataValidation>
    <dataValidation type="list" errorStyle="warning" showInputMessage="1" sqref="D130" xr:uid="{00000000-0002-0000-0300-000002000000}">
      <formula1>Máquina</formula1>
    </dataValidation>
  </dataValidations>
  <printOptions horizontalCentered="1"/>
  <pageMargins left="0" right="0" top="0.39370078740157483" bottom="0.39370078740157483" header="0.19685039370078741" footer="0"/>
  <pageSetup paperSize="9" orientation="portrait" blackAndWhite="1" r:id="rId1"/>
  <headerFooter>
    <oddHeader>&amp;R&amp;D   &amp;Th</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3">
    <pageSetUpPr fitToPage="1"/>
  </sheetPr>
  <dimension ref="A1:J2"/>
  <sheetViews>
    <sheetView showZeros="0" workbookViewId="0">
      <pane ySplit="1" topLeftCell="A2" activePane="bottomLeft" state="frozen"/>
      <selection pane="bottomLeft"/>
    </sheetView>
  </sheetViews>
  <sheetFormatPr defaultRowHeight="18" customHeight="1" x14ac:dyDescent="0.25"/>
  <cols>
    <col min="1" max="1" width="7.5703125" customWidth="1"/>
    <col min="2" max="2" width="12.28515625" customWidth="1"/>
    <col min="3" max="3" width="11.42578125" style="27" hidden="1" customWidth="1"/>
    <col min="4" max="4" width="49.7109375" customWidth="1"/>
    <col min="5" max="6" width="10" customWidth="1"/>
    <col min="7" max="7" width="10" style="108" customWidth="1"/>
    <col min="8" max="8" width="13.42578125" style="15" customWidth="1"/>
    <col min="9" max="10" width="11.42578125" style="27" hidden="1" customWidth="1"/>
  </cols>
  <sheetData>
    <row r="1" spans="1:10" ht="51" customHeight="1" thickBot="1" x14ac:dyDescent="0.3">
      <c r="A1" s="95" t="s">
        <v>129</v>
      </c>
      <c r="B1" s="95" t="s">
        <v>17</v>
      </c>
      <c r="C1" s="246" t="s">
        <v>30</v>
      </c>
      <c r="D1" s="95" t="s">
        <v>28</v>
      </c>
      <c r="E1" s="93" t="s">
        <v>4</v>
      </c>
      <c r="F1" s="93" t="s">
        <v>15</v>
      </c>
      <c r="G1" s="107" t="s">
        <v>11</v>
      </c>
      <c r="H1" s="93" t="s">
        <v>20</v>
      </c>
      <c r="I1" s="70" t="s">
        <v>32</v>
      </c>
      <c r="J1" s="70" t="s">
        <v>33</v>
      </c>
    </row>
    <row r="2" spans="1:10" ht="18" customHeight="1" x14ac:dyDescent="0.25">
      <c r="A2" s="71">
        <v>0</v>
      </c>
      <c r="B2" s="72">
        <v>0</v>
      </c>
      <c r="C2" s="73" t="str">
        <f t="shared" ref="C2" si="0">CONCATENATE(B2,"-",A2)</f>
        <v>0-0</v>
      </c>
      <c r="D2" s="77">
        <v>0</v>
      </c>
      <c r="E2" s="77"/>
      <c r="F2" s="77"/>
      <c r="G2" s="76"/>
      <c r="H2" s="74"/>
      <c r="I2" s="75">
        <f t="shared" ref="I2" si="1">IF(E2=0,0,CONCATENATE(B2,"-",E2))</f>
        <v>0</v>
      </c>
      <c r="J2" s="75">
        <f t="shared" ref="J2" si="2">IF(F2=0,0,CONCATENATE(B2,"-",F2))</f>
        <v>0</v>
      </c>
    </row>
  </sheetData>
  <sheetProtection sheet="1" objects="1" scenarios="1" autoFilter="0"/>
  <autoFilter ref="A1:J2" xr:uid="{00000000-0009-0000-0000-000004000000}"/>
  <sortState xmlns:xlrd2="http://schemas.microsoft.com/office/spreadsheetml/2017/richdata2" ref="A2:J170">
    <sortCondition ref="B2:B1000000"/>
    <sortCondition ref="A2:A1000000"/>
  </sortState>
  <printOptions horizontalCentered="1"/>
  <pageMargins left="0" right="0" top="0.59055118110236227" bottom="0.39370078740157483" header="0.19685039370078741" footer="0"/>
  <pageSetup paperSize="9" scale="56" fitToHeight="0" orientation="portrait" blackAndWhite="1" r:id="rId1"/>
  <headerFooter>
    <oddHeader xml:space="preserve">&amp;R&amp;D   Pág. &amp;P / &amp;N      </oddHead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14">
    <pageSetUpPr fitToPage="1"/>
  </sheetPr>
  <dimension ref="A1:AN149"/>
  <sheetViews>
    <sheetView showZeros="0" zoomScaleNormal="100" workbookViewId="0">
      <pane ySplit="8" topLeftCell="A9" activePane="bottomLeft" state="frozen"/>
      <selection activeCell="C1" sqref="C1:D1"/>
      <selection pane="bottomLeft" activeCell="L1" sqref="L1"/>
    </sheetView>
  </sheetViews>
  <sheetFormatPr defaultRowHeight="12.75" x14ac:dyDescent="0.2"/>
  <cols>
    <col min="1" max="1" width="0.140625" style="123" customWidth="1"/>
    <col min="2" max="2" width="5.7109375" style="125" customWidth="1"/>
    <col min="3" max="3" width="49.7109375" style="121" customWidth="1"/>
    <col min="4" max="4" width="6.7109375" style="121" bestFit="1" customWidth="1"/>
    <col min="5" max="5" width="6.7109375" style="121" customWidth="1"/>
    <col min="6" max="7" width="9.28515625" style="121" customWidth="1"/>
    <col min="8" max="8" width="6.140625" style="121" customWidth="1"/>
    <col min="9" max="9" width="9.28515625" style="121" customWidth="1"/>
    <col min="10" max="10" width="3.42578125" style="121" customWidth="1"/>
    <col min="11" max="11" width="9.5703125" style="121" customWidth="1"/>
    <col min="12" max="12" width="8.85546875" style="121" customWidth="1"/>
    <col min="13" max="15" width="7.85546875" style="121" customWidth="1"/>
    <col min="16" max="16" width="12.28515625" style="121" customWidth="1"/>
    <col min="17" max="17" width="7.85546875" style="121" customWidth="1"/>
    <col min="18" max="18" width="15.140625" style="129" hidden="1" customWidth="1"/>
    <col min="19" max="19" width="25.28515625" style="132" hidden="1" customWidth="1"/>
    <col min="20" max="20" width="7.85546875" style="121" customWidth="1"/>
    <col min="21" max="21" width="11.85546875" style="123" hidden="1" customWidth="1"/>
    <col min="22" max="22" width="4.42578125" style="123" hidden="1" customWidth="1"/>
    <col min="23" max="23" width="5.7109375" style="123" hidden="1" customWidth="1"/>
    <col min="24" max="24" width="6.28515625" style="123" hidden="1" customWidth="1"/>
    <col min="25" max="25" width="4.42578125" style="123" hidden="1" customWidth="1"/>
    <col min="26" max="26" width="7" style="123" hidden="1" customWidth="1"/>
    <col min="27" max="30" width="4.42578125" style="123" hidden="1" customWidth="1"/>
    <col min="31" max="31" width="10.85546875" style="123" hidden="1" customWidth="1"/>
    <col min="32" max="16384" width="9.140625" style="121"/>
  </cols>
  <sheetData>
    <row r="1" spans="1:40" ht="15" customHeight="1" x14ac:dyDescent="0.2">
      <c r="B1" s="201"/>
      <c r="C1" s="202"/>
      <c r="D1" s="202"/>
      <c r="E1" s="202"/>
      <c r="F1" s="202"/>
      <c r="G1" s="305" t="str">
        <f>IF(U1=TRUE,"Tempo para Produzir","")</f>
        <v/>
      </c>
      <c r="H1" s="305"/>
      <c r="I1" s="305"/>
      <c r="J1" s="202"/>
      <c r="K1" s="210"/>
      <c r="L1" s="175"/>
      <c r="M1" s="209" t="s">
        <v>50</v>
      </c>
      <c r="N1" s="307"/>
      <c r="O1" s="307"/>
      <c r="P1" s="211"/>
      <c r="Q1" s="202"/>
      <c r="T1" s="202"/>
      <c r="U1" s="120" t="b">
        <v>0</v>
      </c>
      <c r="V1" s="120"/>
      <c r="W1" s="120"/>
      <c r="X1" s="120"/>
      <c r="Y1" s="120"/>
      <c r="Z1" s="120"/>
      <c r="AA1" s="120"/>
      <c r="AB1" s="120"/>
      <c r="AC1" s="120"/>
      <c r="AD1" s="120"/>
      <c r="AE1" s="120"/>
      <c r="AF1" s="202"/>
      <c r="AG1" s="202"/>
      <c r="AH1" s="202"/>
      <c r="AI1" s="202"/>
      <c r="AJ1" s="202"/>
      <c r="AK1" s="202"/>
      <c r="AL1" s="202"/>
      <c r="AM1" s="202"/>
      <c r="AN1" s="202"/>
    </row>
    <row r="2" spans="1:40" ht="15" customHeight="1" x14ac:dyDescent="0.2">
      <c r="B2" s="201"/>
      <c r="C2" s="202"/>
      <c r="D2" s="202"/>
      <c r="E2" s="202"/>
      <c r="F2" s="202"/>
      <c r="G2" s="253" t="str">
        <f>IF(U1=TRUE,"Operador(a)","")</f>
        <v/>
      </c>
      <c r="H2" s="254" t="str">
        <f>IF(U1=TRUE,"Dias","")</f>
        <v/>
      </c>
      <c r="I2" s="254" t="str">
        <f>IF(U1=TRUE,"+ Horas","")</f>
        <v/>
      </c>
      <c r="J2" s="202"/>
      <c r="K2" s="209" t="s">
        <v>51</v>
      </c>
      <c r="L2" s="175"/>
      <c r="M2" s="209" t="s">
        <v>52</v>
      </c>
      <c r="N2" s="176"/>
      <c r="O2" s="211"/>
      <c r="P2" s="211"/>
      <c r="Q2" s="202"/>
      <c r="T2" s="202"/>
      <c r="U2" s="120" t="b">
        <v>0</v>
      </c>
      <c r="AF2" s="202"/>
      <c r="AG2" s="202"/>
      <c r="AH2" s="202"/>
      <c r="AI2" s="202"/>
      <c r="AJ2" s="202"/>
      <c r="AK2" s="202"/>
      <c r="AL2" s="202"/>
      <c r="AM2" s="202"/>
      <c r="AN2" s="202"/>
    </row>
    <row r="3" spans="1:40" ht="18.75" customHeight="1" x14ac:dyDescent="0.2">
      <c r="B3" s="201"/>
      <c r="C3" s="202"/>
      <c r="D3" s="202"/>
      <c r="E3" s="202"/>
      <c r="F3" s="202"/>
      <c r="G3" s="253" t="str">
        <f>IF(U1=TRUE,L5,"")</f>
        <v/>
      </c>
      <c r="H3" s="255" t="str">
        <f>IF(G3="","",IF(OR(L5=0,M5=0),0,V5))</f>
        <v/>
      </c>
      <c r="I3" s="256" t="str">
        <f>IF(G3="","",AB5)</f>
        <v/>
      </c>
      <c r="J3" s="202"/>
      <c r="K3" s="202"/>
      <c r="L3" s="202"/>
      <c r="M3" s="202"/>
      <c r="N3" s="202"/>
      <c r="O3" s="202"/>
      <c r="P3" s="202"/>
      <c r="Q3" s="202"/>
      <c r="T3" s="202"/>
      <c r="AF3" s="202"/>
      <c r="AG3" s="202"/>
      <c r="AH3" s="202"/>
      <c r="AI3" s="202"/>
      <c r="AJ3" s="202"/>
      <c r="AK3" s="202"/>
      <c r="AL3" s="202"/>
      <c r="AM3" s="202"/>
      <c r="AN3" s="202"/>
    </row>
    <row r="4" spans="1:40" ht="18.75" customHeight="1" x14ac:dyDescent="0.2">
      <c r="B4" s="201"/>
      <c r="C4" s="202"/>
      <c r="D4" s="202"/>
      <c r="E4" s="202"/>
      <c r="F4" s="202"/>
      <c r="G4" s="203"/>
      <c r="H4" s="204"/>
      <c r="I4" s="204"/>
      <c r="J4" s="202"/>
      <c r="K4" s="257" t="s">
        <v>65</v>
      </c>
      <c r="L4" s="258" t="s">
        <v>53</v>
      </c>
      <c r="M4" s="257" t="s">
        <v>66</v>
      </c>
      <c r="N4" s="259" t="s">
        <v>41</v>
      </c>
      <c r="O4" s="260" t="s">
        <v>131</v>
      </c>
      <c r="P4" s="259" t="s">
        <v>123</v>
      </c>
      <c r="Q4" s="202"/>
      <c r="T4" s="202"/>
      <c r="AF4" s="202"/>
      <c r="AG4" s="202"/>
      <c r="AH4" s="202"/>
      <c r="AI4" s="202"/>
      <c r="AJ4" s="202"/>
      <c r="AK4" s="202"/>
      <c r="AL4" s="202"/>
      <c r="AM4" s="202"/>
      <c r="AN4" s="202"/>
    </row>
    <row r="5" spans="1:40" ht="18.75" customHeight="1" x14ac:dyDescent="0.2">
      <c r="B5" s="201"/>
      <c r="C5" s="202"/>
      <c r="D5" s="202"/>
      <c r="E5" s="202"/>
      <c r="F5" s="202"/>
      <c r="G5" s="203"/>
      <c r="H5" s="205"/>
      <c r="I5" s="205"/>
      <c r="J5" s="202"/>
      <c r="K5" s="261">
        <f>F129</f>
        <v>0</v>
      </c>
      <c r="L5" s="122"/>
      <c r="M5" s="122"/>
      <c r="N5" s="262">
        <f>V5</f>
        <v>0</v>
      </c>
      <c r="O5" s="263" t="str">
        <f>AB5</f>
        <v>0:00</v>
      </c>
      <c r="P5" s="178"/>
      <c r="Q5" s="202"/>
      <c r="T5" s="202"/>
      <c r="U5" s="250">
        <f>IF(OR(L5=0,M5=0),0,K5/(L5*M5))</f>
        <v>0</v>
      </c>
      <c r="V5" s="250">
        <f>ROUNDDOWN(U5,0)</f>
        <v>0</v>
      </c>
      <c r="W5" s="251">
        <f>U5-V5</f>
        <v>0</v>
      </c>
      <c r="X5" s="250">
        <f>(W5*M5)/60</f>
        <v>0</v>
      </c>
      <c r="Y5" s="250">
        <f>ROUNDDOWN(X5,0)</f>
        <v>0</v>
      </c>
      <c r="Z5" s="251">
        <f>(X5-Y5)*60</f>
        <v>0</v>
      </c>
      <c r="AA5" s="250">
        <f>ROUNDDOWN(Z5,0)</f>
        <v>0</v>
      </c>
      <c r="AB5" s="250" t="str">
        <f>IF(AA5&lt;10,Y5&amp;":0"&amp;AA5,Y5&amp;":"&amp;AA5)</f>
        <v>0:00</v>
      </c>
      <c r="AF5" s="202"/>
      <c r="AG5" s="202"/>
      <c r="AH5" s="202"/>
      <c r="AI5" s="202"/>
      <c r="AJ5" s="202"/>
      <c r="AK5" s="202"/>
      <c r="AL5" s="202"/>
      <c r="AM5" s="202"/>
      <c r="AN5" s="202"/>
    </row>
    <row r="6" spans="1:40" ht="41.25" customHeight="1" x14ac:dyDescent="0.2">
      <c r="B6" s="306" t="str">
        <f>S18</f>
        <v/>
      </c>
      <c r="C6" s="306"/>
      <c r="D6" s="306"/>
      <c r="E6" s="306"/>
      <c r="F6" s="202"/>
      <c r="G6" s="203"/>
      <c r="H6" s="205"/>
      <c r="I6" s="205"/>
      <c r="J6" s="202"/>
      <c r="K6" s="202"/>
      <c r="L6" s="202"/>
      <c r="M6" s="202"/>
      <c r="N6" s="202"/>
      <c r="O6" s="202"/>
      <c r="P6" s="206" t="str">
        <f>IF(AND(P5=0,U1=TRUE),"Informe a qtde de peças.","")</f>
        <v/>
      </c>
      <c r="Q6" s="202"/>
      <c r="T6" s="202"/>
      <c r="AF6" s="202"/>
      <c r="AG6" s="202"/>
      <c r="AH6" s="202"/>
      <c r="AI6" s="202"/>
      <c r="AJ6" s="202"/>
      <c r="AK6" s="202"/>
      <c r="AL6" s="202"/>
      <c r="AM6" s="202"/>
      <c r="AN6" s="202"/>
    </row>
    <row r="7" spans="1:40" s="123" customFormat="1" ht="0.2" customHeight="1" x14ac:dyDescent="0.2">
      <c r="A7" s="127" t="s">
        <v>21</v>
      </c>
      <c r="B7" s="54" t="s">
        <v>13</v>
      </c>
      <c r="C7" s="54" t="s">
        <v>45</v>
      </c>
      <c r="D7" s="126" t="s">
        <v>11</v>
      </c>
      <c r="E7" s="126" t="s">
        <v>46</v>
      </c>
      <c r="F7" s="126" t="s">
        <v>47</v>
      </c>
      <c r="G7" s="126" t="s">
        <v>47</v>
      </c>
      <c r="H7" s="126" t="s">
        <v>31</v>
      </c>
      <c r="I7" s="126" t="s">
        <v>48</v>
      </c>
      <c r="J7" s="202"/>
      <c r="K7" s="202"/>
      <c r="L7" s="202"/>
      <c r="M7" s="202"/>
      <c r="N7" s="202"/>
      <c r="O7" s="202"/>
      <c r="P7" s="202"/>
      <c r="Q7" s="202"/>
      <c r="R7" s="129"/>
      <c r="S7" s="132"/>
      <c r="T7" s="202"/>
      <c r="AF7" s="202"/>
      <c r="AG7" s="202"/>
      <c r="AH7" s="202"/>
      <c r="AI7" s="202"/>
      <c r="AJ7" s="202"/>
      <c r="AK7" s="202"/>
      <c r="AL7" s="202"/>
      <c r="AM7" s="202"/>
      <c r="AN7" s="202"/>
    </row>
    <row r="8" spans="1:40" ht="27" customHeight="1" thickBot="1" x14ac:dyDescent="0.25">
      <c r="A8" s="99" t="s">
        <v>22</v>
      </c>
      <c r="B8" s="212" t="s">
        <v>13</v>
      </c>
      <c r="C8" s="212" t="s">
        <v>28</v>
      </c>
      <c r="D8" s="213" t="s">
        <v>11</v>
      </c>
      <c r="E8" s="213" t="s">
        <v>46</v>
      </c>
      <c r="F8" s="214" t="s">
        <v>54</v>
      </c>
      <c r="G8" s="215" t="s">
        <v>54</v>
      </c>
      <c r="H8" s="213" t="s">
        <v>31</v>
      </c>
      <c r="I8" s="213" t="s">
        <v>48</v>
      </c>
      <c r="J8" s="202"/>
      <c r="K8" s="202"/>
      <c r="L8" s="202"/>
      <c r="M8" s="202"/>
      <c r="N8" s="202"/>
      <c r="O8" s="202"/>
      <c r="P8" s="202"/>
      <c r="Q8" s="202"/>
      <c r="T8" s="202"/>
      <c r="AF8" s="202"/>
      <c r="AG8" s="202"/>
      <c r="AH8" s="202"/>
      <c r="AI8" s="202"/>
      <c r="AJ8" s="202"/>
      <c r="AK8" s="202"/>
      <c r="AL8" s="202"/>
      <c r="AM8" s="202"/>
      <c r="AN8" s="202"/>
    </row>
    <row r="9" spans="1:40" ht="28.5" customHeight="1" x14ac:dyDescent="0.25">
      <c r="A9" s="32" t="str">
        <f>IF(C9=0,"Não","Sim")</f>
        <v>Não</v>
      </c>
      <c r="B9" s="216">
        <v>1</v>
      </c>
      <c r="C9" s="217">
        <f>IF($L$1=0,0,IF(ISERROR(VLOOKUP($U$11&amp;"-"&amp;B9,'BD Seq Op'!C:H,2,FALSE)),0,VLOOKUP($U$11&amp;"-"&amp;B9,'BD Seq Op'!C:H,2,FALSE)))</f>
        <v>0</v>
      </c>
      <c r="D9" s="218">
        <f>IF($L$1=0,0,IF(ISERROR(VLOOKUP($U$11&amp;"-"&amp;B9,'BD Seq Op'!C:H,5,FALSE)),0,VLOOKUP($U$11&amp;"-"&amp;B9,'BD Seq Op'!C:H,5,FALSE)))</f>
        <v>0</v>
      </c>
      <c r="E9" s="219" t="str">
        <f t="shared" ref="E9:E40" si="0">IF(C9=0,"",IF($U$1=TRUE,(60*$L$5)/D9,60/D9))</f>
        <v/>
      </c>
      <c r="F9" s="220"/>
      <c r="G9" s="221"/>
      <c r="H9" s="222" t="str">
        <f>IF(C9=0,"",IF($U$1=TRUE,$P$5,IF($L$2=0,$V$15,$L$2)))</f>
        <v/>
      </c>
      <c r="I9" s="223" t="str">
        <f>IF(C9=0,"",IF(AE9=TRUE,0,D9*H9))</f>
        <v/>
      </c>
      <c r="J9" s="207"/>
      <c r="K9" s="208"/>
      <c r="L9" s="202"/>
      <c r="M9" s="202"/>
      <c r="N9" s="202"/>
      <c r="O9" s="202"/>
      <c r="P9" s="202"/>
      <c r="Q9" s="202"/>
      <c r="R9" s="130" t="s">
        <v>56</v>
      </c>
      <c r="S9" s="132" t="str">
        <f>IF(L1=0,"",CONCATENATE(R9,U9))</f>
        <v/>
      </c>
      <c r="T9" s="202"/>
      <c r="U9" s="134" t="str">
        <f>IF(L1=0,"",L1)</f>
        <v/>
      </c>
      <c r="V9" s="134"/>
      <c r="W9" s="134"/>
      <c r="X9" s="134"/>
      <c r="Y9" s="134"/>
      <c r="Z9" s="134"/>
      <c r="AA9" s="134"/>
      <c r="AB9" s="134"/>
      <c r="AC9" s="134"/>
      <c r="AD9" s="134"/>
      <c r="AE9" s="169" t="b">
        <v>0</v>
      </c>
      <c r="AF9" s="202"/>
      <c r="AG9" s="202"/>
      <c r="AH9" s="202"/>
      <c r="AI9" s="202"/>
      <c r="AJ9" s="202"/>
      <c r="AK9" s="202"/>
      <c r="AL9" s="202"/>
      <c r="AM9" s="202"/>
      <c r="AN9" s="202"/>
    </row>
    <row r="10" spans="1:40" ht="28.5" customHeight="1" x14ac:dyDescent="0.25">
      <c r="A10" s="32" t="str">
        <f t="shared" ref="A10:A73" si="1">IF(C10=0,"Não","Sim")</f>
        <v>Não</v>
      </c>
      <c r="B10" s="224">
        <v>2</v>
      </c>
      <c r="C10" s="217">
        <f>IF($L$1=0,0,IF(ISERROR(VLOOKUP($U$11&amp;"-"&amp;B10,'BD Seq Op'!C:H,2,FALSE)),0,VLOOKUP($U$11&amp;"-"&amp;B10,'BD Seq Op'!C:H,2,FALSE)))</f>
        <v>0</v>
      </c>
      <c r="D10" s="218">
        <f>IF($L$1=0,0,IF(ISERROR(VLOOKUP($U$11&amp;"-"&amp;B10,'BD Seq Op'!C:H,5,FALSE)),0,VLOOKUP($U$11&amp;"-"&amp;B10,'BD Seq Op'!C:H,5,FALSE)))</f>
        <v>0</v>
      </c>
      <c r="E10" s="219" t="str">
        <f t="shared" si="0"/>
        <v/>
      </c>
      <c r="F10" s="225"/>
      <c r="G10" s="226"/>
      <c r="H10" s="222" t="str">
        <f t="shared" ref="H10:H73" si="2">IF(C10=0,"",IF($U$1=TRUE,$P$5,IF($L$2=0,$V$15,$L$2)))</f>
        <v/>
      </c>
      <c r="I10" s="223" t="str">
        <f t="shared" ref="I10:I73" si="3">IF(C10=0,"",IF(AE10=TRUE,0,D10*H10))</f>
        <v/>
      </c>
      <c r="J10" s="207"/>
      <c r="K10" s="208"/>
      <c r="L10" s="202"/>
      <c r="M10" s="202"/>
      <c r="N10" s="202"/>
      <c r="O10" s="202"/>
      <c r="P10" s="202"/>
      <c r="Q10" s="202"/>
      <c r="R10" s="130" t="s">
        <v>61</v>
      </c>
      <c r="S10" s="133" t="str">
        <f>IF(L1=0,"",IF(U10=0,R10,CONCATENATE(R10,TEXT(U10,"dd/mm/aaaa"))))</f>
        <v/>
      </c>
      <c r="T10" s="202"/>
      <c r="U10" s="135" t="str">
        <f>IF($L$1=0,"",IF(ISERROR(VLOOKUP($L$1,'BD da OP'!$A:$AC,3,FALSE)),"",VLOOKUP($L$1,'BD da OP'!$A:$AC,3,FALSE)))</f>
        <v/>
      </c>
      <c r="V10" s="135"/>
      <c r="W10" s="135"/>
      <c r="X10" s="135"/>
      <c r="Y10" s="135"/>
      <c r="Z10" s="135"/>
      <c r="AA10" s="135"/>
      <c r="AB10" s="135"/>
      <c r="AC10" s="135"/>
      <c r="AD10" s="135"/>
      <c r="AE10" s="135" t="b">
        <v>0</v>
      </c>
      <c r="AF10" s="202"/>
      <c r="AG10" s="202"/>
      <c r="AH10" s="202"/>
      <c r="AI10" s="202"/>
      <c r="AJ10" s="202"/>
      <c r="AK10" s="202"/>
      <c r="AL10" s="202"/>
      <c r="AM10" s="202"/>
      <c r="AN10" s="202"/>
    </row>
    <row r="11" spans="1:40" ht="28.5" customHeight="1" x14ac:dyDescent="0.25">
      <c r="A11" s="32" t="str">
        <f t="shared" si="1"/>
        <v>Não</v>
      </c>
      <c r="B11" s="216">
        <v>3</v>
      </c>
      <c r="C11" s="217">
        <f>IF($L$1=0,0,IF(ISERROR(VLOOKUP($U$11&amp;"-"&amp;B11,'BD Seq Op'!C:H,2,FALSE)),0,VLOOKUP($U$11&amp;"-"&amp;B11,'BD Seq Op'!C:H,2,FALSE)))</f>
        <v>0</v>
      </c>
      <c r="D11" s="218">
        <f>IF($L$1=0,0,IF(ISERROR(VLOOKUP($U$11&amp;"-"&amp;B11,'BD Seq Op'!C:H,5,FALSE)),0,VLOOKUP($U$11&amp;"-"&amp;B11,'BD Seq Op'!C:H,5,FALSE)))</f>
        <v>0</v>
      </c>
      <c r="E11" s="219" t="str">
        <f t="shared" si="0"/>
        <v/>
      </c>
      <c r="F11" s="225"/>
      <c r="G11" s="226"/>
      <c r="H11" s="222" t="str">
        <f t="shared" si="2"/>
        <v/>
      </c>
      <c r="I11" s="223" t="str">
        <f t="shared" si="3"/>
        <v/>
      </c>
      <c r="J11" s="207"/>
      <c r="K11" s="208"/>
      <c r="L11" s="202"/>
      <c r="M11" s="202"/>
      <c r="N11" s="202"/>
      <c r="O11" s="202"/>
      <c r="P11" s="202"/>
      <c r="Q11" s="202"/>
      <c r="R11" s="130" t="s">
        <v>58</v>
      </c>
      <c r="S11" s="132" t="str">
        <f>IF(L1=0,"",CONCATENATE(R11,U11))</f>
        <v/>
      </c>
      <c r="T11" s="202"/>
      <c r="U11" s="169" t="str">
        <f>IF($L$1=0,"",IF(ISERROR(VLOOKUP($L$1,'BD da OP'!$A:$AC,4,FALSE)),"",VLOOKUP($L$1,'BD da OP'!$A:$AC,4,FALSE)))</f>
        <v/>
      </c>
      <c r="V11" s="136"/>
      <c r="W11" s="136"/>
      <c r="X11" s="136"/>
      <c r="Y11" s="136"/>
      <c r="Z11" s="136"/>
      <c r="AA11" s="136"/>
      <c r="AB11" s="136"/>
      <c r="AC11" s="136"/>
      <c r="AD11" s="136"/>
      <c r="AE11" s="169" t="b">
        <v>0</v>
      </c>
      <c r="AF11" s="202"/>
      <c r="AG11" s="202"/>
      <c r="AH11" s="202"/>
      <c r="AI11" s="202"/>
      <c r="AJ11" s="202"/>
      <c r="AK11" s="202"/>
      <c r="AL11" s="202"/>
      <c r="AM11" s="202"/>
      <c r="AN11" s="202"/>
    </row>
    <row r="12" spans="1:40" ht="28.5" customHeight="1" x14ac:dyDescent="0.25">
      <c r="A12" s="32" t="str">
        <f t="shared" si="1"/>
        <v>Não</v>
      </c>
      <c r="B12" s="224">
        <v>4</v>
      </c>
      <c r="C12" s="217">
        <f>IF($L$1=0,0,IF(ISERROR(VLOOKUP($U$11&amp;"-"&amp;B12,'BD Seq Op'!C:H,2,FALSE)),0,VLOOKUP($U$11&amp;"-"&amp;B12,'BD Seq Op'!C:H,2,FALSE)))</f>
        <v>0</v>
      </c>
      <c r="D12" s="218">
        <f>IF($L$1=0,0,IF(ISERROR(VLOOKUP($U$11&amp;"-"&amp;B12,'BD Seq Op'!C:H,5,FALSE)),0,VLOOKUP($U$11&amp;"-"&amp;B12,'BD Seq Op'!C:H,5,FALSE)))</f>
        <v>0</v>
      </c>
      <c r="E12" s="219" t="str">
        <f t="shared" si="0"/>
        <v/>
      </c>
      <c r="F12" s="225"/>
      <c r="G12" s="226"/>
      <c r="H12" s="222" t="str">
        <f t="shared" si="2"/>
        <v/>
      </c>
      <c r="I12" s="223" t="str">
        <f t="shared" si="3"/>
        <v/>
      </c>
      <c r="J12" s="207"/>
      <c r="K12" s="208"/>
      <c r="L12" s="202"/>
      <c r="M12" s="202"/>
      <c r="N12" s="202"/>
      <c r="O12" s="202"/>
      <c r="P12" s="202"/>
      <c r="Q12" s="202"/>
      <c r="R12" s="130" t="s">
        <v>55</v>
      </c>
      <c r="S12" s="132" t="str">
        <f>U12</f>
        <v/>
      </c>
      <c r="T12" s="202"/>
      <c r="U12" s="131" t="str">
        <f>IF($L$1=0,"",IF(ISERROR(VLOOKUP(U11,Ref!A:B,2,FALSE)),"",VLOOKUP(U11,Ref!A:B,2,FALSE)))</f>
        <v/>
      </c>
      <c r="V12" s="131"/>
      <c r="W12" s="131"/>
      <c r="X12" s="131"/>
      <c r="Y12" s="131"/>
      <c r="Z12" s="131"/>
      <c r="AA12" s="131"/>
      <c r="AB12" s="131"/>
      <c r="AC12" s="131"/>
      <c r="AD12" s="131"/>
      <c r="AE12" s="269" t="b">
        <v>0</v>
      </c>
      <c r="AF12" s="202"/>
      <c r="AG12" s="202"/>
      <c r="AH12" s="202"/>
      <c r="AI12" s="202"/>
      <c r="AJ12" s="202"/>
      <c r="AK12" s="202"/>
      <c r="AL12" s="202"/>
      <c r="AM12" s="202"/>
      <c r="AN12" s="202"/>
    </row>
    <row r="13" spans="1:40" ht="28.5" customHeight="1" x14ac:dyDescent="0.25">
      <c r="A13" s="32" t="str">
        <f t="shared" si="1"/>
        <v>Não</v>
      </c>
      <c r="B13" s="216">
        <v>5</v>
      </c>
      <c r="C13" s="217">
        <f>IF($L$1=0,0,IF(ISERROR(VLOOKUP($U$11&amp;"-"&amp;B13,'BD Seq Op'!C:H,2,FALSE)),0,VLOOKUP($U$11&amp;"-"&amp;B13,'BD Seq Op'!C:H,2,FALSE)))</f>
        <v>0</v>
      </c>
      <c r="D13" s="218">
        <f>IF($L$1=0,0,IF(ISERROR(VLOOKUP($U$11&amp;"-"&amp;B13,'BD Seq Op'!C:H,5,FALSE)),0,VLOOKUP($U$11&amp;"-"&amp;B13,'BD Seq Op'!C:H,5,FALSE)))</f>
        <v>0</v>
      </c>
      <c r="E13" s="219" t="str">
        <f t="shared" si="0"/>
        <v/>
      </c>
      <c r="F13" s="225"/>
      <c r="G13" s="226"/>
      <c r="H13" s="222" t="str">
        <f t="shared" si="2"/>
        <v/>
      </c>
      <c r="I13" s="223" t="str">
        <f t="shared" si="3"/>
        <v/>
      </c>
      <c r="J13" s="207"/>
      <c r="K13" s="208"/>
      <c r="L13" s="202"/>
      <c r="M13" s="202"/>
      <c r="N13" s="202"/>
      <c r="O13" s="202"/>
      <c r="P13" s="202"/>
      <c r="Q13" s="202"/>
      <c r="R13" s="130" t="s">
        <v>59</v>
      </c>
      <c r="S13" s="132" t="str">
        <f>IF(L1=0,"",IF(U2=TRUE,"",IF(N1=0,CONCATENATE(R13,U13),CONCATENATE(R13,N1))))</f>
        <v/>
      </c>
      <c r="T13" s="202"/>
      <c r="U13" s="170" t="str">
        <f>IF($L$1=0,"",IF(ISERROR(VLOOKUP($L$1,'BD da OP'!$A:$AC,6,FALSE)),"",VLOOKUP($L$1,'BD da OP'!$A:$AC,6,FALSE)))</f>
        <v/>
      </c>
      <c r="V13" s="170" t="str">
        <f>IF($L$1=0,"",IF(ISERROR(VLOOKUP($L$1,'BD da OP'!$A:$AC,7,FALSE)),"",VLOOKUP($L$1,'BD da OP'!$A:$AC,7,FALSE)))</f>
        <v/>
      </c>
      <c r="W13" s="170" t="str">
        <f>IF($L$1=0,"",IF(ISERROR(VLOOKUP($L$1,'BD da OP'!$A:$AC,8,FALSE)),"",VLOOKUP($L$1,'BD da OP'!$A:$AC,8,FALSE)))</f>
        <v/>
      </c>
      <c r="X13" s="170" t="str">
        <f>IF($L$1=0,"",IF(ISERROR(VLOOKUP($L$1,'BD da OP'!$A:$AC,9,FALSE)),"",VLOOKUP($L$1,'BD da OP'!$A:$AC,9,FALSE)))</f>
        <v/>
      </c>
      <c r="Y13" s="170" t="str">
        <f>IF($L$1=0,"",IF(ISERROR(VLOOKUP($L$1,'BD da OP'!$A:$AC,10,FALSE)),"",VLOOKUP($L$1,'BD da OP'!$A:$AC,10,FALSE)))</f>
        <v/>
      </c>
      <c r="Z13" s="170" t="str">
        <f>IF($L$1=0,"",IF(ISERROR(VLOOKUP($L$1,'BD da OP'!$A:$AC,11,FALSE)),"",VLOOKUP($L$1,'BD da OP'!$A:$AC,11,FALSE)))</f>
        <v/>
      </c>
      <c r="AA13" s="170" t="str">
        <f>IF($L$1=0,"",IF(ISERROR(VLOOKUP($L$1,'BD da OP'!$A:$AC,12,FALSE)),"",VLOOKUP($L$1,'BD da OP'!$A:$AC,12,FALSE)))</f>
        <v/>
      </c>
      <c r="AB13" s="170" t="str">
        <f>IF($L$1=0,"",IF(ISERROR(VLOOKUP($L$1,'BD da OP'!$A:$AC,13,FALSE)),"",VLOOKUP($L$1,'BD da OP'!$A:$AC,13,FALSE)))</f>
        <v/>
      </c>
      <c r="AC13" s="170" t="str">
        <f>IF($L$1=0,"",IF(ISERROR(VLOOKUP($L$1,'BD da OP'!$A:$AC,14,FALSE)),"",VLOOKUP($L$1,'BD da OP'!$A:$AC,14,FALSE)))</f>
        <v/>
      </c>
      <c r="AD13" s="170" t="str">
        <f>IF($L$1=0,"",IF(ISERROR(VLOOKUP($L$1,'BD da OP'!$A:$AC,15,FALSE)),"",VLOOKUP($L$1,'BD da OP'!$A:$AC,15,FALSE)))</f>
        <v/>
      </c>
      <c r="AE13" s="269" t="b">
        <v>0</v>
      </c>
      <c r="AF13" s="202"/>
      <c r="AG13" s="202"/>
      <c r="AH13" s="202"/>
      <c r="AI13" s="202"/>
      <c r="AJ13" s="202"/>
      <c r="AK13" s="202"/>
      <c r="AL13" s="202"/>
      <c r="AM13" s="202"/>
      <c r="AN13" s="202"/>
    </row>
    <row r="14" spans="1:40" ht="28.5" customHeight="1" x14ac:dyDescent="0.25">
      <c r="A14" s="32" t="str">
        <f t="shared" si="1"/>
        <v>Não</v>
      </c>
      <c r="B14" s="224">
        <v>6</v>
      </c>
      <c r="C14" s="217">
        <f>IF($L$1=0,0,IF(ISERROR(VLOOKUP($U$11&amp;"-"&amp;B14,'BD Seq Op'!C:H,2,FALSE)),0,VLOOKUP($U$11&amp;"-"&amp;B14,'BD Seq Op'!C:H,2,FALSE)))</f>
        <v>0</v>
      </c>
      <c r="D14" s="218">
        <f>IF($L$1=0,0,IF(ISERROR(VLOOKUP($U$11&amp;"-"&amp;B14,'BD Seq Op'!C:H,5,FALSE)),0,VLOOKUP($U$11&amp;"-"&amp;B14,'BD Seq Op'!C:H,5,FALSE)))</f>
        <v>0</v>
      </c>
      <c r="E14" s="219" t="str">
        <f t="shared" si="0"/>
        <v/>
      </c>
      <c r="F14" s="225"/>
      <c r="G14" s="226"/>
      <c r="H14" s="222" t="str">
        <f t="shared" si="2"/>
        <v/>
      </c>
      <c r="I14" s="223" t="str">
        <f t="shared" si="3"/>
        <v/>
      </c>
      <c r="J14" s="207"/>
      <c r="K14" s="208"/>
      <c r="L14" s="202"/>
      <c r="M14" s="202"/>
      <c r="N14" s="202"/>
      <c r="O14" s="202"/>
      <c r="P14" s="202"/>
      <c r="Q14" s="202"/>
      <c r="R14" s="130" t="s">
        <v>62</v>
      </c>
      <c r="S14" s="132" t="str">
        <f>IF(L1=0,"",IF(U2=TRUE,"",IF(N2=0,CONCATENATE(R14,UPPER(U14)),CONCATENATE(R14,UPPER(N2)))))</f>
        <v/>
      </c>
      <c r="T14" s="202"/>
      <c r="U14" s="170" t="str">
        <f>IF($L$1=0,"",IF(ISERROR(VLOOKUP($L$1,'BD da OP'!$A:$AC,16,FALSE)),"",VLOOKUP($L$1,'BD da OP'!$A:$AC,16,FALSE)))</f>
        <v/>
      </c>
      <c r="V14" s="170" t="str">
        <f>IF($L$1=0,"",IF(ISERROR(VLOOKUP($L$1,'BD da OP'!$A:$AC,17,FALSE)),"",VLOOKUP($L$1,'BD da OP'!$A:$AC,17,FALSE)))</f>
        <v/>
      </c>
      <c r="W14" s="170" t="str">
        <f>IF($L$1=0,"",IF(ISERROR(VLOOKUP($L$1,'BD da OP'!$A:$AC,18,FALSE)),"",VLOOKUP($L$1,'BD da OP'!$A:$AC,18,FALSE)))</f>
        <v/>
      </c>
      <c r="X14" s="170" t="str">
        <f>IF($L$1=0,"",IF(ISERROR(VLOOKUP($L$1,'BD da OP'!$A:$AC,19,FALSE)),"",VLOOKUP($L$1,'BD da OP'!$A:$AC,19,FALSE)))</f>
        <v/>
      </c>
      <c r="Y14" s="170" t="str">
        <f>IF($L$1=0,"",IF(ISERROR(VLOOKUP($L$1,'BD da OP'!$A:$AC,20,FALSE)),"",VLOOKUP($L$1,'BD da OP'!$A:$AC,20,FALSE)))</f>
        <v/>
      </c>
      <c r="Z14" s="170" t="str">
        <f>IF($L$1=0,"",IF(ISERROR(VLOOKUP($L$1,'BD da OP'!$A:$AC,21,FALSE)),"",VLOOKUP($L$1,'BD da OP'!$A:$AC,21,FALSE)))</f>
        <v/>
      </c>
      <c r="AA14" s="170" t="str">
        <f>IF($L$1=0,"",IF(ISERROR(VLOOKUP($L$1,'BD da OP'!$A:$AC,22,FALSE)),"",VLOOKUP($L$1,'BD da OP'!$A:$AC,22,FALSE)))</f>
        <v/>
      </c>
      <c r="AB14" s="170" t="str">
        <f>IF($L$1=0,"",IF(ISERROR(VLOOKUP($L$1,'BD da OP'!$A:$AC,23,FALSE)),"",VLOOKUP($L$1,'BD da OP'!$A:$AC,23,FALSE)))</f>
        <v/>
      </c>
      <c r="AC14" s="170" t="str">
        <f>IF($L$1=0,"",IF(ISERROR(VLOOKUP($L$1,'BD da OP'!$A:$AC,24,FALSE)),"",VLOOKUP($L$1,'BD da OP'!$A:$AC,24,FALSE)))</f>
        <v/>
      </c>
      <c r="AD14" s="170" t="str">
        <f>IF($L$1=0,"",IF(ISERROR(VLOOKUP($L$1,'BD da OP'!$A:$AC,25,FALSE)),"",VLOOKUP($L$1,'BD da OP'!$A:$AC,25,FALSE)))</f>
        <v/>
      </c>
      <c r="AE14" s="269" t="b">
        <v>0</v>
      </c>
      <c r="AF14" s="202"/>
      <c r="AG14" s="202"/>
      <c r="AH14" s="202"/>
      <c r="AI14" s="202"/>
      <c r="AJ14" s="202"/>
      <c r="AK14" s="202"/>
      <c r="AL14" s="202"/>
      <c r="AM14" s="202"/>
      <c r="AN14" s="202"/>
    </row>
    <row r="15" spans="1:40" ht="28.5" customHeight="1" x14ac:dyDescent="0.25">
      <c r="A15" s="32" t="str">
        <f t="shared" si="1"/>
        <v>Não</v>
      </c>
      <c r="B15" s="216">
        <v>7</v>
      </c>
      <c r="C15" s="217">
        <f>IF($L$1=0,0,IF(ISERROR(VLOOKUP($U$11&amp;"-"&amp;B15,'BD Seq Op'!C:H,2,FALSE)),0,VLOOKUP($U$11&amp;"-"&amp;B15,'BD Seq Op'!C:H,2,FALSE)))</f>
        <v>0</v>
      </c>
      <c r="D15" s="218">
        <f>IF($L$1=0,0,IF(ISERROR(VLOOKUP($U$11&amp;"-"&amp;B15,'BD Seq Op'!C:H,5,FALSE)),0,VLOOKUP($U$11&amp;"-"&amp;B15,'BD Seq Op'!C:H,5,FALSE)))</f>
        <v>0</v>
      </c>
      <c r="E15" s="219" t="str">
        <f t="shared" si="0"/>
        <v/>
      </c>
      <c r="F15" s="225"/>
      <c r="G15" s="226"/>
      <c r="H15" s="222" t="str">
        <f t="shared" si="2"/>
        <v/>
      </c>
      <c r="I15" s="223" t="str">
        <f t="shared" si="3"/>
        <v/>
      </c>
      <c r="J15" s="207"/>
      <c r="K15" s="208"/>
      <c r="L15" s="202"/>
      <c r="M15" s="202"/>
      <c r="N15" s="202"/>
      <c r="O15" s="202"/>
      <c r="P15" s="202"/>
      <c r="Q15" s="202"/>
      <c r="R15" s="130" t="s">
        <v>57</v>
      </c>
      <c r="S15" s="132" t="str">
        <f>IF(L1=0,"",IF(U15&lt;1000,CONCATENATE(R15,U15),CONCATENATE(R15,TEXT(U15,"0.000"))))</f>
        <v/>
      </c>
      <c r="T15" s="202"/>
      <c r="U15" s="134" t="str">
        <f>IF(U1=TRUE,P5,IF(L2=0,V15,L2))</f>
        <v/>
      </c>
      <c r="V15" s="134" t="str">
        <f>IF($L$1=0,"",IF(ISERROR(VLOOKUP($L$1,'BD da OP'!$A:$AC,26,FALSE)),"",VLOOKUP($L$1,'BD da OP'!$A:$AC,26,FALSE)))</f>
        <v/>
      </c>
      <c r="W15" s="134"/>
      <c r="X15" s="134"/>
      <c r="Y15" s="134"/>
      <c r="Z15" s="134"/>
      <c r="AA15" s="134"/>
      <c r="AB15" s="134"/>
      <c r="AC15" s="134"/>
      <c r="AD15" s="134"/>
      <c r="AE15" s="169" t="b">
        <v>0</v>
      </c>
      <c r="AF15" s="202"/>
      <c r="AG15" s="202"/>
      <c r="AH15" s="202"/>
      <c r="AI15" s="202"/>
      <c r="AJ15" s="202"/>
      <c r="AK15" s="202"/>
      <c r="AL15" s="202"/>
      <c r="AM15" s="202"/>
      <c r="AN15" s="202"/>
    </row>
    <row r="16" spans="1:40" ht="28.5" customHeight="1" x14ac:dyDescent="0.25">
      <c r="A16" s="32" t="str">
        <f t="shared" si="1"/>
        <v>Não</v>
      </c>
      <c r="B16" s="224">
        <v>8</v>
      </c>
      <c r="C16" s="217">
        <f>IF($L$1=0,0,IF(ISERROR(VLOOKUP($U$11&amp;"-"&amp;B16,'BD Seq Op'!C:H,2,FALSE)),0,VLOOKUP($U$11&amp;"-"&amp;B16,'BD Seq Op'!C:H,2,FALSE)))</f>
        <v>0</v>
      </c>
      <c r="D16" s="218">
        <f>IF($L$1=0,0,IF(ISERROR(VLOOKUP($U$11&amp;"-"&amp;B16,'BD Seq Op'!C:H,5,FALSE)),0,VLOOKUP($U$11&amp;"-"&amp;B16,'BD Seq Op'!C:H,5,FALSE)))</f>
        <v>0</v>
      </c>
      <c r="E16" s="219" t="str">
        <f t="shared" si="0"/>
        <v/>
      </c>
      <c r="F16" s="225"/>
      <c r="G16" s="226"/>
      <c r="H16" s="222" t="str">
        <f t="shared" si="2"/>
        <v/>
      </c>
      <c r="I16" s="223" t="str">
        <f t="shared" si="3"/>
        <v/>
      </c>
      <c r="J16" s="207"/>
      <c r="K16" s="208"/>
      <c r="L16" s="202"/>
      <c r="M16" s="202"/>
      <c r="N16" s="202"/>
      <c r="O16" s="202"/>
      <c r="P16" s="202"/>
      <c r="Q16" s="202"/>
      <c r="R16" s="130" t="str">
        <f>CONCATENATE(Cliente!F1," : ")</f>
        <v xml:space="preserve">Cliente : </v>
      </c>
      <c r="S16" s="132" t="str">
        <f>IF(L1=0,"",IF(U16=0,"",CONCATENATE(R16,U16)))</f>
        <v/>
      </c>
      <c r="T16" s="202"/>
      <c r="U16" s="131" t="str">
        <f>IF($L$1=0,"",IF(ISERROR(VLOOKUP($L$1,'BD da OP'!$A:$AC,27,FALSE)),"",VLOOKUP($L$1,'BD da OP'!$A:$AC,27,FALSE)))</f>
        <v/>
      </c>
      <c r="V16" s="131"/>
      <c r="W16" s="131"/>
      <c r="X16" s="131"/>
      <c r="Y16" s="131"/>
      <c r="Z16" s="131"/>
      <c r="AA16" s="131"/>
      <c r="AB16" s="131"/>
      <c r="AC16" s="131"/>
      <c r="AD16" s="131"/>
      <c r="AE16" s="269" t="b">
        <v>0</v>
      </c>
      <c r="AF16" s="202"/>
      <c r="AG16" s="202"/>
      <c r="AH16" s="202"/>
      <c r="AI16" s="202"/>
      <c r="AJ16" s="202"/>
      <c r="AK16" s="202"/>
      <c r="AL16" s="202"/>
      <c r="AM16" s="202"/>
      <c r="AN16" s="202"/>
    </row>
    <row r="17" spans="1:40" ht="28.5" customHeight="1" x14ac:dyDescent="0.25">
      <c r="A17" s="32" t="str">
        <f t="shared" si="1"/>
        <v>Não</v>
      </c>
      <c r="B17" s="216">
        <v>9</v>
      </c>
      <c r="C17" s="217">
        <f>IF($L$1=0,0,IF(ISERROR(VLOOKUP($U$11&amp;"-"&amp;B17,'BD Seq Op'!C:H,2,FALSE)),0,VLOOKUP($U$11&amp;"-"&amp;B17,'BD Seq Op'!C:H,2,FALSE)))</f>
        <v>0</v>
      </c>
      <c r="D17" s="218">
        <f>IF($L$1=0,0,IF(ISERROR(VLOOKUP($U$11&amp;"-"&amp;B17,'BD Seq Op'!C:H,5,FALSE)),0,VLOOKUP($U$11&amp;"-"&amp;B17,'BD Seq Op'!C:H,5,FALSE)))</f>
        <v>0</v>
      </c>
      <c r="E17" s="219" t="str">
        <f t="shared" si="0"/>
        <v/>
      </c>
      <c r="F17" s="225"/>
      <c r="G17" s="226"/>
      <c r="H17" s="222" t="str">
        <f t="shared" si="2"/>
        <v/>
      </c>
      <c r="I17" s="223" t="str">
        <f t="shared" si="3"/>
        <v/>
      </c>
      <c r="J17" s="207"/>
      <c r="K17" s="208"/>
      <c r="L17" s="202"/>
      <c r="M17" s="202"/>
      <c r="N17" s="202"/>
      <c r="O17" s="202"/>
      <c r="P17" s="202"/>
      <c r="Q17" s="202"/>
      <c r="R17" s="130" t="s">
        <v>60</v>
      </c>
      <c r="S17" s="133" t="str">
        <f>IF(L1=0,"",IF(U17=0,"Previsão Entrega : não definida",CONCATENATE(R17,TEXT(U17,"dd/mm/aaaa"))))</f>
        <v/>
      </c>
      <c r="T17" s="202"/>
      <c r="U17" s="135" t="str">
        <f>IF($L$1=0,"",IF(ISERROR(VLOOKUP($L$1,'BD da OP'!$A:$AC,28,FALSE)),"",VLOOKUP($L$1,'BD da OP'!$A:$AC,28,FALSE)))</f>
        <v/>
      </c>
      <c r="V17" s="135"/>
      <c r="W17" s="135"/>
      <c r="X17" s="135"/>
      <c r="Y17" s="135"/>
      <c r="Z17" s="135"/>
      <c r="AA17" s="135"/>
      <c r="AB17" s="135"/>
      <c r="AC17" s="135"/>
      <c r="AD17" s="135"/>
      <c r="AE17" s="135" t="b">
        <v>0</v>
      </c>
      <c r="AF17" s="202"/>
      <c r="AG17" s="202"/>
      <c r="AH17" s="202"/>
      <c r="AI17" s="202"/>
      <c r="AJ17" s="202"/>
      <c r="AK17" s="202"/>
      <c r="AL17" s="202"/>
      <c r="AM17" s="202"/>
      <c r="AN17" s="202"/>
    </row>
    <row r="18" spans="1:40" ht="28.5" customHeight="1" x14ac:dyDescent="0.25">
      <c r="A18" s="32" t="str">
        <f t="shared" si="1"/>
        <v>Não</v>
      </c>
      <c r="B18" s="224">
        <v>10</v>
      </c>
      <c r="C18" s="217">
        <f>IF($L$1=0,0,IF(ISERROR(VLOOKUP($U$11&amp;"-"&amp;B18,'BD Seq Op'!C:H,2,FALSE)),0,VLOOKUP($U$11&amp;"-"&amp;B18,'BD Seq Op'!C:H,2,FALSE)))</f>
        <v>0</v>
      </c>
      <c r="D18" s="218">
        <f>IF($L$1=0,0,IF(ISERROR(VLOOKUP($U$11&amp;"-"&amp;B18,'BD Seq Op'!C:H,5,FALSE)),0,VLOOKUP($U$11&amp;"-"&amp;B18,'BD Seq Op'!C:H,5,FALSE)))</f>
        <v>0</v>
      </c>
      <c r="E18" s="219" t="str">
        <f t="shared" si="0"/>
        <v/>
      </c>
      <c r="F18" s="225"/>
      <c r="G18" s="226"/>
      <c r="H18" s="222" t="str">
        <f t="shared" si="2"/>
        <v/>
      </c>
      <c r="I18" s="223" t="str">
        <f t="shared" si="3"/>
        <v/>
      </c>
      <c r="J18" s="207"/>
      <c r="K18" s="208"/>
      <c r="L18" s="202"/>
      <c r="M18" s="202"/>
      <c r="N18" s="202"/>
      <c r="O18" s="202"/>
      <c r="P18" s="202"/>
      <c r="Q18" s="202"/>
      <c r="R18" s="130" t="s">
        <v>63</v>
      </c>
      <c r="S18" s="137" t="str">
        <f>IF(U18=0,"",U18)</f>
        <v/>
      </c>
      <c r="T18" s="202"/>
      <c r="U18" s="138" t="str">
        <f>IF($L$1=0,"",IF(ISERROR(VLOOKUP($L$1,'BD da OP'!$A:$AC,29,FALSE)),"",VLOOKUP($L$1,'BD da OP'!$A:$AC,29,FALSE)))</f>
        <v/>
      </c>
      <c r="V18" s="138"/>
      <c r="W18" s="138"/>
      <c r="X18" s="138"/>
      <c r="Y18" s="138"/>
      <c r="Z18" s="138"/>
      <c r="AA18" s="138"/>
      <c r="AB18" s="138"/>
      <c r="AC18" s="138"/>
      <c r="AD18" s="138"/>
      <c r="AE18" s="270" t="b">
        <v>0</v>
      </c>
      <c r="AF18" s="202"/>
      <c r="AG18" s="202"/>
      <c r="AH18" s="202"/>
      <c r="AI18" s="202"/>
      <c r="AJ18" s="202"/>
      <c r="AK18" s="202"/>
      <c r="AL18" s="202"/>
      <c r="AM18" s="202"/>
      <c r="AN18" s="202"/>
    </row>
    <row r="19" spans="1:40" ht="28.5" customHeight="1" x14ac:dyDescent="0.25">
      <c r="A19" s="32" t="str">
        <f t="shared" si="1"/>
        <v>Não</v>
      </c>
      <c r="B19" s="216">
        <v>11</v>
      </c>
      <c r="C19" s="217">
        <f>IF($L$1=0,0,IF(ISERROR(VLOOKUP($U$11&amp;"-"&amp;B19,'BD Seq Op'!C:H,2,FALSE)),0,VLOOKUP($U$11&amp;"-"&amp;B19,'BD Seq Op'!C:H,2,FALSE)))</f>
        <v>0</v>
      </c>
      <c r="D19" s="218">
        <f>IF($L$1=0,0,IF(ISERROR(VLOOKUP($U$11&amp;"-"&amp;B19,'BD Seq Op'!C:H,5,FALSE)),0,VLOOKUP($U$11&amp;"-"&amp;B19,'BD Seq Op'!C:H,5,FALSE)))</f>
        <v>0</v>
      </c>
      <c r="E19" s="219" t="str">
        <f t="shared" si="0"/>
        <v/>
      </c>
      <c r="F19" s="225"/>
      <c r="G19" s="226"/>
      <c r="H19" s="222" t="str">
        <f t="shared" si="2"/>
        <v/>
      </c>
      <c r="I19" s="223" t="str">
        <f t="shared" si="3"/>
        <v/>
      </c>
      <c r="J19" s="207"/>
      <c r="K19" s="208"/>
      <c r="L19" s="202"/>
      <c r="M19" s="202"/>
      <c r="N19" s="202"/>
      <c r="O19" s="202"/>
      <c r="P19" s="202"/>
      <c r="Q19" s="202"/>
      <c r="T19" s="202"/>
      <c r="U19" s="124"/>
      <c r="V19" s="124"/>
      <c r="W19" s="124"/>
      <c r="X19" s="124"/>
      <c r="Y19" s="124"/>
      <c r="Z19" s="124"/>
      <c r="AA19" s="124"/>
      <c r="AB19" s="124"/>
      <c r="AC19" s="124"/>
      <c r="AD19" s="124"/>
      <c r="AE19" s="271" t="b">
        <v>0</v>
      </c>
      <c r="AF19" s="202"/>
      <c r="AG19" s="202"/>
      <c r="AH19" s="202"/>
      <c r="AI19" s="202"/>
      <c r="AJ19" s="202"/>
      <c r="AK19" s="202"/>
      <c r="AL19" s="202"/>
      <c r="AM19" s="202"/>
      <c r="AN19" s="202"/>
    </row>
    <row r="20" spans="1:40" ht="28.5" customHeight="1" x14ac:dyDescent="0.25">
      <c r="A20" s="32" t="str">
        <f t="shared" si="1"/>
        <v>Não</v>
      </c>
      <c r="B20" s="224">
        <v>12</v>
      </c>
      <c r="C20" s="217">
        <f>IF($L$1=0,0,IF(ISERROR(VLOOKUP($U$11&amp;"-"&amp;B20,'BD Seq Op'!C:H,2,FALSE)),0,VLOOKUP($U$11&amp;"-"&amp;B20,'BD Seq Op'!C:H,2,FALSE)))</f>
        <v>0</v>
      </c>
      <c r="D20" s="218">
        <f>IF($L$1=0,0,IF(ISERROR(VLOOKUP($U$11&amp;"-"&amp;B20,'BD Seq Op'!C:H,5,FALSE)),0,VLOOKUP($U$11&amp;"-"&amp;B20,'BD Seq Op'!C:H,5,FALSE)))</f>
        <v>0</v>
      </c>
      <c r="E20" s="219" t="str">
        <f t="shared" si="0"/>
        <v/>
      </c>
      <c r="F20" s="225"/>
      <c r="G20" s="226"/>
      <c r="H20" s="222" t="str">
        <f t="shared" si="2"/>
        <v/>
      </c>
      <c r="I20" s="223" t="str">
        <f t="shared" si="3"/>
        <v/>
      </c>
      <c r="J20" s="207"/>
      <c r="K20" s="208"/>
      <c r="L20" s="202"/>
      <c r="M20" s="202"/>
      <c r="N20" s="202"/>
      <c r="O20" s="202"/>
      <c r="P20" s="202"/>
      <c r="Q20" s="202"/>
      <c r="T20" s="202"/>
      <c r="U20" s="124"/>
      <c r="V20" s="124"/>
      <c r="W20" s="124"/>
      <c r="X20" s="124"/>
      <c r="Y20" s="124"/>
      <c r="Z20" s="124"/>
      <c r="AA20" s="124"/>
      <c r="AB20" s="124"/>
      <c r="AC20" s="124"/>
      <c r="AD20" s="124"/>
      <c r="AE20" s="271" t="b">
        <v>0</v>
      </c>
      <c r="AF20" s="202"/>
      <c r="AG20" s="202"/>
      <c r="AH20" s="202"/>
      <c r="AI20" s="202"/>
      <c r="AJ20" s="202"/>
      <c r="AK20" s="202"/>
      <c r="AL20" s="202"/>
      <c r="AM20" s="202"/>
      <c r="AN20" s="202"/>
    </row>
    <row r="21" spans="1:40" ht="28.5" customHeight="1" x14ac:dyDescent="0.25">
      <c r="A21" s="32" t="str">
        <f t="shared" si="1"/>
        <v>Não</v>
      </c>
      <c r="B21" s="216">
        <v>13</v>
      </c>
      <c r="C21" s="217">
        <f>IF($L$1=0,0,IF(ISERROR(VLOOKUP($U$11&amp;"-"&amp;B21,'BD Seq Op'!C:H,2,FALSE)),0,VLOOKUP($U$11&amp;"-"&amp;B21,'BD Seq Op'!C:H,2,FALSE)))</f>
        <v>0</v>
      </c>
      <c r="D21" s="218">
        <f>IF($L$1=0,0,IF(ISERROR(VLOOKUP($U$11&amp;"-"&amp;B21,'BD Seq Op'!C:H,5,FALSE)),0,VLOOKUP($U$11&amp;"-"&amp;B21,'BD Seq Op'!C:H,5,FALSE)))</f>
        <v>0</v>
      </c>
      <c r="E21" s="219" t="str">
        <f t="shared" si="0"/>
        <v/>
      </c>
      <c r="F21" s="225"/>
      <c r="G21" s="226"/>
      <c r="H21" s="222" t="str">
        <f t="shared" si="2"/>
        <v/>
      </c>
      <c r="I21" s="223" t="str">
        <f t="shared" si="3"/>
        <v/>
      </c>
      <c r="J21" s="207"/>
      <c r="K21" s="208"/>
      <c r="L21" s="202"/>
      <c r="M21" s="202"/>
      <c r="N21" s="202"/>
      <c r="O21" s="202"/>
      <c r="P21" s="202"/>
      <c r="Q21" s="202"/>
      <c r="T21" s="202"/>
      <c r="U21" s="124"/>
      <c r="V21" s="124"/>
      <c r="W21" s="124"/>
      <c r="X21" s="124"/>
      <c r="Y21" s="124"/>
      <c r="Z21" s="124"/>
      <c r="AA21" s="124"/>
      <c r="AB21" s="124"/>
      <c r="AC21" s="124"/>
      <c r="AD21" s="124"/>
      <c r="AE21" s="271" t="b">
        <v>0</v>
      </c>
      <c r="AF21" s="202"/>
      <c r="AG21" s="202"/>
      <c r="AH21" s="202"/>
      <c r="AI21" s="202"/>
      <c r="AJ21" s="202"/>
      <c r="AK21" s="202"/>
      <c r="AL21" s="202"/>
      <c r="AM21" s="202"/>
      <c r="AN21" s="202"/>
    </row>
    <row r="22" spans="1:40" ht="28.5" customHeight="1" x14ac:dyDescent="0.25">
      <c r="A22" s="32" t="str">
        <f t="shared" si="1"/>
        <v>Não</v>
      </c>
      <c r="B22" s="224">
        <v>14</v>
      </c>
      <c r="C22" s="217">
        <f>IF($L$1=0,0,IF(ISERROR(VLOOKUP($U$11&amp;"-"&amp;B22,'BD Seq Op'!C:H,2,FALSE)),0,VLOOKUP($U$11&amp;"-"&amp;B22,'BD Seq Op'!C:H,2,FALSE)))</f>
        <v>0</v>
      </c>
      <c r="D22" s="218">
        <f>IF($L$1=0,0,IF(ISERROR(VLOOKUP($U$11&amp;"-"&amp;B22,'BD Seq Op'!C:H,5,FALSE)),0,VLOOKUP($U$11&amp;"-"&amp;B22,'BD Seq Op'!C:H,5,FALSE)))</f>
        <v>0</v>
      </c>
      <c r="E22" s="219" t="str">
        <f t="shared" si="0"/>
        <v/>
      </c>
      <c r="F22" s="225"/>
      <c r="G22" s="226"/>
      <c r="H22" s="222" t="str">
        <f t="shared" si="2"/>
        <v/>
      </c>
      <c r="I22" s="223" t="str">
        <f t="shared" si="3"/>
        <v/>
      </c>
      <c r="J22" s="207"/>
      <c r="K22" s="208"/>
      <c r="L22" s="202"/>
      <c r="M22" s="202"/>
      <c r="N22" s="202"/>
      <c r="O22" s="202"/>
      <c r="P22" s="202"/>
      <c r="Q22" s="202"/>
      <c r="T22" s="202"/>
      <c r="U22" s="124"/>
      <c r="V22" s="124"/>
      <c r="W22" s="124"/>
      <c r="X22" s="124"/>
      <c r="Y22" s="124"/>
      <c r="Z22" s="124"/>
      <c r="AA22" s="124"/>
      <c r="AB22" s="124"/>
      <c r="AC22" s="124"/>
      <c r="AD22" s="124"/>
      <c r="AE22" s="271" t="b">
        <v>0</v>
      </c>
      <c r="AF22" s="202"/>
      <c r="AG22" s="202"/>
      <c r="AH22" s="202"/>
      <c r="AI22" s="202"/>
      <c r="AJ22" s="202"/>
      <c r="AK22" s="202"/>
      <c r="AL22" s="202"/>
      <c r="AM22" s="202"/>
      <c r="AN22" s="202"/>
    </row>
    <row r="23" spans="1:40" ht="28.5" customHeight="1" x14ac:dyDescent="0.25">
      <c r="A23" s="32" t="str">
        <f t="shared" si="1"/>
        <v>Não</v>
      </c>
      <c r="B23" s="216">
        <v>15</v>
      </c>
      <c r="C23" s="217">
        <f>IF($L$1=0,0,IF(ISERROR(VLOOKUP($U$11&amp;"-"&amp;B23,'BD Seq Op'!C:H,2,FALSE)),0,VLOOKUP($U$11&amp;"-"&amp;B23,'BD Seq Op'!C:H,2,FALSE)))</f>
        <v>0</v>
      </c>
      <c r="D23" s="218">
        <f>IF($L$1=0,0,IF(ISERROR(VLOOKUP($U$11&amp;"-"&amp;B23,'BD Seq Op'!C:H,5,FALSE)),0,VLOOKUP($U$11&amp;"-"&amp;B23,'BD Seq Op'!C:H,5,FALSE)))</f>
        <v>0</v>
      </c>
      <c r="E23" s="219" t="str">
        <f t="shared" si="0"/>
        <v/>
      </c>
      <c r="F23" s="225"/>
      <c r="G23" s="226"/>
      <c r="H23" s="222" t="str">
        <f t="shared" si="2"/>
        <v/>
      </c>
      <c r="I23" s="223" t="str">
        <f t="shared" si="3"/>
        <v/>
      </c>
      <c r="J23" s="207"/>
      <c r="K23" s="208"/>
      <c r="L23" s="202"/>
      <c r="M23" s="202"/>
      <c r="N23" s="202"/>
      <c r="O23" s="202"/>
      <c r="P23" s="202"/>
      <c r="Q23" s="202"/>
      <c r="T23" s="202"/>
      <c r="U23" s="124"/>
      <c r="V23" s="124"/>
      <c r="W23" s="124"/>
      <c r="X23" s="124"/>
      <c r="Y23" s="124"/>
      <c r="Z23" s="124"/>
      <c r="AA23" s="124"/>
      <c r="AB23" s="124"/>
      <c r="AC23" s="124"/>
      <c r="AD23" s="124"/>
      <c r="AE23" s="271" t="b">
        <v>0</v>
      </c>
      <c r="AF23" s="202"/>
      <c r="AG23" s="202"/>
      <c r="AH23" s="202"/>
      <c r="AI23" s="202"/>
      <c r="AJ23" s="202"/>
      <c r="AK23" s="202"/>
      <c r="AL23" s="202"/>
      <c r="AM23" s="202"/>
      <c r="AN23" s="202"/>
    </row>
    <row r="24" spans="1:40" ht="28.5" customHeight="1" x14ac:dyDescent="0.25">
      <c r="A24" s="32" t="str">
        <f t="shared" si="1"/>
        <v>Não</v>
      </c>
      <c r="B24" s="224">
        <v>16</v>
      </c>
      <c r="C24" s="217">
        <f>IF($L$1=0,0,IF(ISERROR(VLOOKUP($U$11&amp;"-"&amp;B24,'BD Seq Op'!C:H,2,FALSE)),0,VLOOKUP($U$11&amp;"-"&amp;B24,'BD Seq Op'!C:H,2,FALSE)))</f>
        <v>0</v>
      </c>
      <c r="D24" s="218">
        <f>IF($L$1=0,0,IF(ISERROR(VLOOKUP($U$11&amp;"-"&amp;B24,'BD Seq Op'!C:H,5,FALSE)),0,VLOOKUP($U$11&amp;"-"&amp;B24,'BD Seq Op'!C:H,5,FALSE)))</f>
        <v>0</v>
      </c>
      <c r="E24" s="219" t="str">
        <f t="shared" si="0"/>
        <v/>
      </c>
      <c r="F24" s="225"/>
      <c r="G24" s="226"/>
      <c r="H24" s="222" t="str">
        <f t="shared" si="2"/>
        <v/>
      </c>
      <c r="I24" s="223" t="str">
        <f t="shared" si="3"/>
        <v/>
      </c>
      <c r="J24" s="207"/>
      <c r="K24" s="208"/>
      <c r="L24" s="202"/>
      <c r="M24" s="202"/>
      <c r="N24" s="202"/>
      <c r="O24" s="202"/>
      <c r="P24" s="202"/>
      <c r="Q24" s="202"/>
      <c r="T24" s="202"/>
      <c r="U24" s="124"/>
      <c r="V24" s="124"/>
      <c r="W24" s="124"/>
      <c r="X24" s="124"/>
      <c r="Y24" s="124"/>
      <c r="Z24" s="124"/>
      <c r="AA24" s="124"/>
      <c r="AB24" s="124"/>
      <c r="AC24" s="124"/>
      <c r="AD24" s="124"/>
      <c r="AE24" s="271" t="b">
        <v>0</v>
      </c>
      <c r="AF24" s="202"/>
      <c r="AG24" s="202"/>
      <c r="AH24" s="202"/>
      <c r="AI24" s="202"/>
      <c r="AJ24" s="202"/>
      <c r="AK24" s="202"/>
      <c r="AL24" s="202"/>
      <c r="AM24" s="202"/>
      <c r="AN24" s="202"/>
    </row>
    <row r="25" spans="1:40" ht="28.5" customHeight="1" x14ac:dyDescent="0.25">
      <c r="A25" s="32" t="str">
        <f t="shared" si="1"/>
        <v>Não</v>
      </c>
      <c r="B25" s="216">
        <v>17</v>
      </c>
      <c r="C25" s="217">
        <f>IF($L$1=0,0,IF(ISERROR(VLOOKUP($U$11&amp;"-"&amp;B25,'BD Seq Op'!C:H,2,FALSE)),0,VLOOKUP($U$11&amp;"-"&amp;B25,'BD Seq Op'!C:H,2,FALSE)))</f>
        <v>0</v>
      </c>
      <c r="D25" s="218">
        <f>IF($L$1=0,0,IF(ISERROR(VLOOKUP($U$11&amp;"-"&amp;B25,'BD Seq Op'!C:H,5,FALSE)),0,VLOOKUP($U$11&amp;"-"&amp;B25,'BD Seq Op'!C:H,5,FALSE)))</f>
        <v>0</v>
      </c>
      <c r="E25" s="219" t="str">
        <f t="shared" si="0"/>
        <v/>
      </c>
      <c r="F25" s="225"/>
      <c r="G25" s="226"/>
      <c r="H25" s="222" t="str">
        <f t="shared" si="2"/>
        <v/>
      </c>
      <c r="I25" s="223" t="str">
        <f t="shared" si="3"/>
        <v/>
      </c>
      <c r="J25" s="207"/>
      <c r="K25" s="208"/>
      <c r="L25" s="202"/>
      <c r="M25" s="202"/>
      <c r="N25" s="202"/>
      <c r="O25" s="202"/>
      <c r="P25" s="202"/>
      <c r="Q25" s="202"/>
      <c r="T25" s="202"/>
      <c r="U25" s="124"/>
      <c r="V25" s="124"/>
      <c r="W25" s="124"/>
      <c r="X25" s="124"/>
      <c r="Y25" s="124"/>
      <c r="Z25" s="124"/>
      <c r="AA25" s="124"/>
      <c r="AB25" s="124"/>
      <c r="AC25" s="124"/>
      <c r="AD25" s="124"/>
      <c r="AE25" s="271" t="b">
        <v>0</v>
      </c>
      <c r="AF25" s="202"/>
      <c r="AG25" s="202"/>
      <c r="AH25" s="202"/>
      <c r="AI25" s="202"/>
      <c r="AJ25" s="202"/>
      <c r="AK25" s="202"/>
      <c r="AL25" s="202"/>
      <c r="AM25" s="202"/>
      <c r="AN25" s="202"/>
    </row>
    <row r="26" spans="1:40" ht="28.5" customHeight="1" x14ac:dyDescent="0.25">
      <c r="A26" s="32" t="str">
        <f t="shared" si="1"/>
        <v>Não</v>
      </c>
      <c r="B26" s="224">
        <v>18</v>
      </c>
      <c r="C26" s="217">
        <f>IF($L$1=0,0,IF(ISERROR(VLOOKUP($U$11&amp;"-"&amp;B26,'BD Seq Op'!C:H,2,FALSE)),0,VLOOKUP($U$11&amp;"-"&amp;B26,'BD Seq Op'!C:H,2,FALSE)))</f>
        <v>0</v>
      </c>
      <c r="D26" s="218">
        <f>IF($L$1=0,0,IF(ISERROR(VLOOKUP($U$11&amp;"-"&amp;B26,'BD Seq Op'!C:H,5,FALSE)),0,VLOOKUP($U$11&amp;"-"&amp;B26,'BD Seq Op'!C:H,5,FALSE)))</f>
        <v>0</v>
      </c>
      <c r="E26" s="219" t="str">
        <f t="shared" si="0"/>
        <v/>
      </c>
      <c r="F26" s="225"/>
      <c r="G26" s="226"/>
      <c r="H26" s="222" t="str">
        <f t="shared" si="2"/>
        <v/>
      </c>
      <c r="I26" s="223" t="str">
        <f t="shared" si="3"/>
        <v/>
      </c>
      <c r="J26" s="207"/>
      <c r="K26" s="208"/>
      <c r="L26" s="202"/>
      <c r="M26" s="202"/>
      <c r="N26" s="202"/>
      <c r="O26" s="202"/>
      <c r="P26" s="202"/>
      <c r="Q26" s="202"/>
      <c r="T26" s="202"/>
      <c r="U26" s="124"/>
      <c r="V26" s="124"/>
      <c r="W26" s="124"/>
      <c r="X26" s="124"/>
      <c r="Y26" s="124"/>
      <c r="Z26" s="124"/>
      <c r="AA26" s="124"/>
      <c r="AB26" s="124"/>
      <c r="AC26" s="124"/>
      <c r="AD26" s="124"/>
      <c r="AE26" s="271" t="b">
        <v>0</v>
      </c>
      <c r="AF26" s="202"/>
      <c r="AG26" s="202"/>
      <c r="AH26" s="202"/>
      <c r="AI26" s="202"/>
      <c r="AJ26" s="202"/>
      <c r="AK26" s="202"/>
      <c r="AL26" s="202"/>
      <c r="AM26" s="202"/>
      <c r="AN26" s="202"/>
    </row>
    <row r="27" spans="1:40" ht="28.5" customHeight="1" x14ac:dyDescent="0.25">
      <c r="A27" s="32" t="str">
        <f t="shared" si="1"/>
        <v>Não</v>
      </c>
      <c r="B27" s="216">
        <v>19</v>
      </c>
      <c r="C27" s="217">
        <f>IF($L$1=0,0,IF(ISERROR(VLOOKUP($U$11&amp;"-"&amp;B27,'BD Seq Op'!C:H,2,FALSE)),0,VLOOKUP($U$11&amp;"-"&amp;B27,'BD Seq Op'!C:H,2,FALSE)))</f>
        <v>0</v>
      </c>
      <c r="D27" s="218">
        <f>IF($L$1=0,0,IF(ISERROR(VLOOKUP($U$11&amp;"-"&amp;B27,'BD Seq Op'!C:H,5,FALSE)),0,VLOOKUP($U$11&amp;"-"&amp;B27,'BD Seq Op'!C:H,5,FALSE)))</f>
        <v>0</v>
      </c>
      <c r="E27" s="219" t="str">
        <f t="shared" si="0"/>
        <v/>
      </c>
      <c r="F27" s="225"/>
      <c r="G27" s="226"/>
      <c r="H27" s="222" t="str">
        <f t="shared" si="2"/>
        <v/>
      </c>
      <c r="I27" s="223" t="str">
        <f t="shared" si="3"/>
        <v/>
      </c>
      <c r="J27" s="207"/>
      <c r="K27" s="208"/>
      <c r="L27" s="202"/>
      <c r="M27" s="202"/>
      <c r="N27" s="202"/>
      <c r="O27" s="202"/>
      <c r="P27" s="202"/>
      <c r="Q27" s="202"/>
      <c r="T27" s="202"/>
      <c r="U27" s="124"/>
      <c r="V27" s="124"/>
      <c r="W27" s="124"/>
      <c r="X27" s="124"/>
      <c r="Y27" s="124"/>
      <c r="Z27" s="124"/>
      <c r="AA27" s="124"/>
      <c r="AB27" s="124"/>
      <c r="AC27" s="124"/>
      <c r="AD27" s="124"/>
      <c r="AE27" s="271" t="b">
        <v>0</v>
      </c>
      <c r="AF27" s="202"/>
      <c r="AG27" s="202"/>
      <c r="AH27" s="202"/>
      <c r="AI27" s="202"/>
      <c r="AJ27" s="202"/>
      <c r="AK27" s="202"/>
      <c r="AL27" s="202"/>
      <c r="AM27" s="202"/>
      <c r="AN27" s="202"/>
    </row>
    <row r="28" spans="1:40" ht="28.5" customHeight="1" x14ac:dyDescent="0.25">
      <c r="A28" s="32" t="str">
        <f t="shared" si="1"/>
        <v>Não</v>
      </c>
      <c r="B28" s="224">
        <v>20</v>
      </c>
      <c r="C28" s="217">
        <f>IF($L$1=0,0,IF(ISERROR(VLOOKUP($U$11&amp;"-"&amp;B28,'BD Seq Op'!C:H,2,FALSE)),0,VLOOKUP($U$11&amp;"-"&amp;B28,'BD Seq Op'!C:H,2,FALSE)))</f>
        <v>0</v>
      </c>
      <c r="D28" s="218">
        <f>IF($L$1=0,0,IF(ISERROR(VLOOKUP($U$11&amp;"-"&amp;B28,'BD Seq Op'!C:H,5,FALSE)),0,VLOOKUP($U$11&amp;"-"&amp;B28,'BD Seq Op'!C:H,5,FALSE)))</f>
        <v>0</v>
      </c>
      <c r="E28" s="219" t="str">
        <f t="shared" si="0"/>
        <v/>
      </c>
      <c r="F28" s="225"/>
      <c r="G28" s="226"/>
      <c r="H28" s="222" t="str">
        <f t="shared" si="2"/>
        <v/>
      </c>
      <c r="I28" s="223" t="str">
        <f t="shared" si="3"/>
        <v/>
      </c>
      <c r="J28" s="207"/>
      <c r="K28" s="208"/>
      <c r="L28" s="202"/>
      <c r="M28" s="202"/>
      <c r="N28" s="202"/>
      <c r="O28" s="202"/>
      <c r="P28" s="202"/>
      <c r="Q28" s="202"/>
      <c r="T28" s="202"/>
      <c r="U28" s="124"/>
      <c r="V28" s="124"/>
      <c r="W28" s="124"/>
      <c r="X28" s="124"/>
      <c r="Y28" s="124"/>
      <c r="Z28" s="124"/>
      <c r="AA28" s="124"/>
      <c r="AB28" s="124"/>
      <c r="AC28" s="124"/>
      <c r="AD28" s="124"/>
      <c r="AE28" s="271" t="b">
        <v>0</v>
      </c>
      <c r="AF28" s="202"/>
      <c r="AG28" s="202"/>
      <c r="AH28" s="202"/>
      <c r="AI28" s="202"/>
      <c r="AJ28" s="202"/>
      <c r="AK28" s="202"/>
      <c r="AL28" s="202"/>
      <c r="AM28" s="202"/>
      <c r="AN28" s="202"/>
    </row>
    <row r="29" spans="1:40" ht="28.5" customHeight="1" x14ac:dyDescent="0.25">
      <c r="A29" s="32" t="str">
        <f t="shared" si="1"/>
        <v>Não</v>
      </c>
      <c r="B29" s="216">
        <v>21</v>
      </c>
      <c r="C29" s="217">
        <f>IF($L$1=0,0,IF(ISERROR(VLOOKUP($U$11&amp;"-"&amp;B29,'BD Seq Op'!C:H,2,FALSE)),0,VLOOKUP($U$11&amp;"-"&amp;B29,'BD Seq Op'!C:H,2,FALSE)))</f>
        <v>0</v>
      </c>
      <c r="D29" s="218">
        <f>IF($L$1=0,0,IF(ISERROR(VLOOKUP($U$11&amp;"-"&amp;B29,'BD Seq Op'!C:H,5,FALSE)),0,VLOOKUP($U$11&amp;"-"&amp;B29,'BD Seq Op'!C:H,5,FALSE)))</f>
        <v>0</v>
      </c>
      <c r="E29" s="219" t="str">
        <f t="shared" si="0"/>
        <v/>
      </c>
      <c r="F29" s="225"/>
      <c r="G29" s="226"/>
      <c r="H29" s="222" t="str">
        <f t="shared" si="2"/>
        <v/>
      </c>
      <c r="I29" s="223" t="str">
        <f t="shared" si="3"/>
        <v/>
      </c>
      <c r="J29" s="207"/>
      <c r="K29" s="208"/>
      <c r="L29" s="202"/>
      <c r="M29" s="202"/>
      <c r="N29" s="202"/>
      <c r="O29" s="202"/>
      <c r="P29" s="202"/>
      <c r="Q29" s="202"/>
      <c r="T29" s="202"/>
      <c r="U29" s="124"/>
      <c r="V29" s="124"/>
      <c r="W29" s="124"/>
      <c r="X29" s="124"/>
      <c r="Y29" s="124"/>
      <c r="Z29" s="124"/>
      <c r="AA29" s="124"/>
      <c r="AB29" s="124"/>
      <c r="AC29" s="124"/>
      <c r="AD29" s="124"/>
      <c r="AE29" s="271" t="b">
        <v>0</v>
      </c>
      <c r="AF29" s="202"/>
      <c r="AG29" s="202"/>
      <c r="AH29" s="202"/>
      <c r="AI29" s="202"/>
      <c r="AJ29" s="202"/>
      <c r="AK29" s="202"/>
      <c r="AL29" s="202"/>
      <c r="AM29" s="202"/>
      <c r="AN29" s="202"/>
    </row>
    <row r="30" spans="1:40" ht="28.5" customHeight="1" x14ac:dyDescent="0.25">
      <c r="A30" s="32" t="str">
        <f t="shared" si="1"/>
        <v>Não</v>
      </c>
      <c r="B30" s="224">
        <v>22</v>
      </c>
      <c r="C30" s="217">
        <f>IF($L$1=0,0,IF(ISERROR(VLOOKUP($U$11&amp;"-"&amp;B30,'BD Seq Op'!C:H,2,FALSE)),0,VLOOKUP($U$11&amp;"-"&amp;B30,'BD Seq Op'!C:H,2,FALSE)))</f>
        <v>0</v>
      </c>
      <c r="D30" s="218">
        <f>IF($L$1=0,0,IF(ISERROR(VLOOKUP($U$11&amp;"-"&amp;B30,'BD Seq Op'!C:H,5,FALSE)),0,VLOOKUP($U$11&amp;"-"&amp;B30,'BD Seq Op'!C:H,5,FALSE)))</f>
        <v>0</v>
      </c>
      <c r="E30" s="219" t="str">
        <f t="shared" si="0"/>
        <v/>
      </c>
      <c r="F30" s="225"/>
      <c r="G30" s="226"/>
      <c r="H30" s="222" t="str">
        <f t="shared" si="2"/>
        <v/>
      </c>
      <c r="I30" s="223" t="str">
        <f t="shared" si="3"/>
        <v/>
      </c>
      <c r="J30" s="207"/>
      <c r="K30" s="208"/>
      <c r="L30" s="202"/>
      <c r="M30" s="202"/>
      <c r="N30" s="202"/>
      <c r="O30" s="202"/>
      <c r="P30" s="202"/>
      <c r="Q30" s="202"/>
      <c r="T30" s="202"/>
      <c r="U30" s="124"/>
      <c r="V30" s="124"/>
      <c r="W30" s="124"/>
      <c r="X30" s="124"/>
      <c r="Y30" s="124"/>
      <c r="Z30" s="124"/>
      <c r="AA30" s="124"/>
      <c r="AB30" s="124"/>
      <c r="AC30" s="124"/>
      <c r="AD30" s="124"/>
      <c r="AE30" s="271" t="b">
        <v>0</v>
      </c>
      <c r="AF30" s="202"/>
      <c r="AG30" s="202"/>
      <c r="AH30" s="202"/>
      <c r="AI30" s="202"/>
      <c r="AJ30" s="202"/>
      <c r="AK30" s="202"/>
      <c r="AL30" s="202"/>
      <c r="AM30" s="202"/>
      <c r="AN30" s="202"/>
    </row>
    <row r="31" spans="1:40" ht="28.5" customHeight="1" x14ac:dyDescent="0.25">
      <c r="A31" s="32" t="str">
        <f t="shared" si="1"/>
        <v>Não</v>
      </c>
      <c r="B31" s="216">
        <v>23</v>
      </c>
      <c r="C31" s="217">
        <f>IF($L$1=0,0,IF(ISERROR(VLOOKUP($U$11&amp;"-"&amp;B31,'BD Seq Op'!C:H,2,FALSE)),0,VLOOKUP($U$11&amp;"-"&amp;B31,'BD Seq Op'!C:H,2,FALSE)))</f>
        <v>0</v>
      </c>
      <c r="D31" s="218">
        <f>IF($L$1=0,0,IF(ISERROR(VLOOKUP($U$11&amp;"-"&amp;B31,'BD Seq Op'!C:H,5,FALSE)),0,VLOOKUP($U$11&amp;"-"&amp;B31,'BD Seq Op'!C:H,5,FALSE)))</f>
        <v>0</v>
      </c>
      <c r="E31" s="219" t="str">
        <f t="shared" si="0"/>
        <v/>
      </c>
      <c r="F31" s="225"/>
      <c r="G31" s="226"/>
      <c r="H31" s="222" t="str">
        <f t="shared" si="2"/>
        <v/>
      </c>
      <c r="I31" s="223" t="str">
        <f t="shared" si="3"/>
        <v/>
      </c>
      <c r="J31" s="207"/>
      <c r="K31" s="208"/>
      <c r="L31" s="202"/>
      <c r="M31" s="202"/>
      <c r="N31" s="202"/>
      <c r="O31" s="202"/>
      <c r="P31" s="202"/>
      <c r="Q31" s="202"/>
      <c r="T31" s="202"/>
      <c r="U31" s="124"/>
      <c r="V31" s="124"/>
      <c r="W31" s="124"/>
      <c r="X31" s="124"/>
      <c r="Y31" s="124"/>
      <c r="Z31" s="124"/>
      <c r="AA31" s="124"/>
      <c r="AB31" s="124"/>
      <c r="AC31" s="124"/>
      <c r="AD31" s="124"/>
      <c r="AE31" s="271" t="b">
        <v>0</v>
      </c>
      <c r="AF31" s="202"/>
      <c r="AG31" s="202"/>
      <c r="AH31" s="202"/>
      <c r="AI31" s="202"/>
      <c r="AJ31" s="202"/>
      <c r="AK31" s="202"/>
      <c r="AL31" s="202"/>
      <c r="AM31" s="202"/>
      <c r="AN31" s="202"/>
    </row>
    <row r="32" spans="1:40" ht="28.5" customHeight="1" x14ac:dyDescent="0.25">
      <c r="A32" s="32" t="str">
        <f t="shared" si="1"/>
        <v>Não</v>
      </c>
      <c r="B32" s="224">
        <v>24</v>
      </c>
      <c r="C32" s="217">
        <f>IF($L$1=0,0,IF(ISERROR(VLOOKUP($U$11&amp;"-"&amp;B32,'BD Seq Op'!C:H,2,FALSE)),0,VLOOKUP($U$11&amp;"-"&amp;B32,'BD Seq Op'!C:H,2,FALSE)))</f>
        <v>0</v>
      </c>
      <c r="D32" s="218">
        <f>IF($L$1=0,0,IF(ISERROR(VLOOKUP($U$11&amp;"-"&amp;B32,'BD Seq Op'!C:H,5,FALSE)),0,VLOOKUP($U$11&amp;"-"&amp;B32,'BD Seq Op'!C:H,5,FALSE)))</f>
        <v>0</v>
      </c>
      <c r="E32" s="219" t="str">
        <f t="shared" si="0"/>
        <v/>
      </c>
      <c r="F32" s="225"/>
      <c r="G32" s="226"/>
      <c r="H32" s="222" t="str">
        <f t="shared" si="2"/>
        <v/>
      </c>
      <c r="I32" s="223" t="str">
        <f t="shared" si="3"/>
        <v/>
      </c>
      <c r="J32" s="207"/>
      <c r="K32" s="208"/>
      <c r="L32" s="202"/>
      <c r="M32" s="202"/>
      <c r="N32" s="202"/>
      <c r="O32" s="202"/>
      <c r="P32" s="202"/>
      <c r="Q32" s="202"/>
      <c r="T32" s="202"/>
      <c r="U32" s="124"/>
      <c r="V32" s="124"/>
      <c r="W32" s="124"/>
      <c r="X32" s="124"/>
      <c r="Y32" s="124"/>
      <c r="Z32" s="124"/>
      <c r="AA32" s="124"/>
      <c r="AB32" s="124"/>
      <c r="AC32" s="124"/>
      <c r="AD32" s="124"/>
      <c r="AE32" s="271" t="b">
        <v>0</v>
      </c>
      <c r="AF32" s="202"/>
      <c r="AG32" s="202"/>
      <c r="AH32" s="202"/>
      <c r="AI32" s="202"/>
      <c r="AJ32" s="202"/>
      <c r="AK32" s="202"/>
      <c r="AL32" s="202"/>
      <c r="AM32" s="202"/>
      <c r="AN32" s="202"/>
    </row>
    <row r="33" spans="1:40" ht="28.5" customHeight="1" x14ac:dyDescent="0.25">
      <c r="A33" s="32" t="str">
        <f t="shared" si="1"/>
        <v>Não</v>
      </c>
      <c r="B33" s="216">
        <v>25</v>
      </c>
      <c r="C33" s="217">
        <f>IF($L$1=0,0,IF(ISERROR(VLOOKUP($U$11&amp;"-"&amp;B33,'BD Seq Op'!C:H,2,FALSE)),0,VLOOKUP($U$11&amp;"-"&amp;B33,'BD Seq Op'!C:H,2,FALSE)))</f>
        <v>0</v>
      </c>
      <c r="D33" s="218">
        <f>IF($L$1=0,0,IF(ISERROR(VLOOKUP($U$11&amp;"-"&amp;B33,'BD Seq Op'!C:H,5,FALSE)),0,VLOOKUP($U$11&amp;"-"&amp;B33,'BD Seq Op'!C:H,5,FALSE)))</f>
        <v>0</v>
      </c>
      <c r="E33" s="219" t="str">
        <f t="shared" si="0"/>
        <v/>
      </c>
      <c r="F33" s="225"/>
      <c r="G33" s="226"/>
      <c r="H33" s="222" t="str">
        <f t="shared" si="2"/>
        <v/>
      </c>
      <c r="I33" s="223" t="str">
        <f t="shared" si="3"/>
        <v/>
      </c>
      <c r="J33" s="207"/>
      <c r="K33" s="208"/>
      <c r="L33" s="202"/>
      <c r="M33" s="202"/>
      <c r="N33" s="202"/>
      <c r="O33" s="202"/>
      <c r="P33" s="202"/>
      <c r="Q33" s="202"/>
      <c r="T33" s="202"/>
      <c r="U33" s="124"/>
      <c r="V33" s="124"/>
      <c r="W33" s="124"/>
      <c r="X33" s="124"/>
      <c r="Y33" s="124"/>
      <c r="Z33" s="124"/>
      <c r="AA33" s="124"/>
      <c r="AB33" s="124"/>
      <c r="AC33" s="124"/>
      <c r="AD33" s="124"/>
      <c r="AE33" s="271" t="b">
        <v>0</v>
      </c>
      <c r="AF33" s="202"/>
      <c r="AG33" s="202"/>
      <c r="AH33" s="202"/>
      <c r="AI33" s="202"/>
      <c r="AJ33" s="202"/>
      <c r="AK33" s="202"/>
      <c r="AL33" s="202"/>
      <c r="AM33" s="202"/>
      <c r="AN33" s="202"/>
    </row>
    <row r="34" spans="1:40" ht="28.5" customHeight="1" x14ac:dyDescent="0.25">
      <c r="A34" s="32" t="str">
        <f t="shared" si="1"/>
        <v>Não</v>
      </c>
      <c r="B34" s="224">
        <v>26</v>
      </c>
      <c r="C34" s="217">
        <f>IF($L$1=0,0,IF(ISERROR(VLOOKUP($U$11&amp;"-"&amp;B34,'BD Seq Op'!C:H,2,FALSE)),0,VLOOKUP($U$11&amp;"-"&amp;B34,'BD Seq Op'!C:H,2,FALSE)))</f>
        <v>0</v>
      </c>
      <c r="D34" s="218">
        <f>IF($L$1=0,0,IF(ISERROR(VLOOKUP($U$11&amp;"-"&amp;B34,'BD Seq Op'!C:H,5,FALSE)),0,VLOOKUP($U$11&amp;"-"&amp;B34,'BD Seq Op'!C:H,5,FALSE)))</f>
        <v>0</v>
      </c>
      <c r="E34" s="219" t="str">
        <f t="shared" si="0"/>
        <v/>
      </c>
      <c r="F34" s="225"/>
      <c r="G34" s="226"/>
      <c r="H34" s="222" t="str">
        <f t="shared" si="2"/>
        <v/>
      </c>
      <c r="I34" s="223" t="str">
        <f t="shared" si="3"/>
        <v/>
      </c>
      <c r="J34" s="207"/>
      <c r="K34" s="208"/>
      <c r="L34" s="202"/>
      <c r="M34" s="202"/>
      <c r="N34" s="202"/>
      <c r="O34" s="202"/>
      <c r="P34" s="202"/>
      <c r="Q34" s="202"/>
      <c r="T34" s="202"/>
      <c r="U34" s="124"/>
      <c r="V34" s="124"/>
      <c r="W34" s="124"/>
      <c r="X34" s="124"/>
      <c r="Y34" s="124"/>
      <c r="Z34" s="124"/>
      <c r="AA34" s="124"/>
      <c r="AB34" s="124"/>
      <c r="AC34" s="124"/>
      <c r="AD34" s="124"/>
      <c r="AE34" s="271" t="b">
        <v>0</v>
      </c>
      <c r="AF34" s="202"/>
      <c r="AG34" s="202"/>
      <c r="AH34" s="202"/>
      <c r="AI34" s="202"/>
      <c r="AJ34" s="202"/>
      <c r="AK34" s="202"/>
      <c r="AL34" s="202"/>
      <c r="AM34" s="202"/>
      <c r="AN34" s="202"/>
    </row>
    <row r="35" spans="1:40" ht="28.5" customHeight="1" x14ac:dyDescent="0.25">
      <c r="A35" s="32" t="str">
        <f t="shared" si="1"/>
        <v>Não</v>
      </c>
      <c r="B35" s="216">
        <v>27</v>
      </c>
      <c r="C35" s="217">
        <f>IF($L$1=0,0,IF(ISERROR(VLOOKUP($U$11&amp;"-"&amp;B35,'BD Seq Op'!C:H,2,FALSE)),0,VLOOKUP($U$11&amp;"-"&amp;B35,'BD Seq Op'!C:H,2,FALSE)))</f>
        <v>0</v>
      </c>
      <c r="D35" s="218">
        <f>IF($L$1=0,0,IF(ISERROR(VLOOKUP($U$11&amp;"-"&amp;B35,'BD Seq Op'!C:H,5,FALSE)),0,VLOOKUP($U$11&amp;"-"&amp;B35,'BD Seq Op'!C:H,5,FALSE)))</f>
        <v>0</v>
      </c>
      <c r="E35" s="219" t="str">
        <f t="shared" si="0"/>
        <v/>
      </c>
      <c r="F35" s="225"/>
      <c r="G35" s="226"/>
      <c r="H35" s="222" t="str">
        <f t="shared" si="2"/>
        <v/>
      </c>
      <c r="I35" s="223" t="str">
        <f t="shared" si="3"/>
        <v/>
      </c>
      <c r="J35" s="207"/>
      <c r="K35" s="208"/>
      <c r="L35" s="202"/>
      <c r="M35" s="202"/>
      <c r="N35" s="202"/>
      <c r="O35" s="202"/>
      <c r="P35" s="202"/>
      <c r="Q35" s="202"/>
      <c r="T35" s="202"/>
      <c r="U35" s="124"/>
      <c r="V35" s="124"/>
      <c r="W35" s="124"/>
      <c r="X35" s="124"/>
      <c r="Y35" s="124"/>
      <c r="Z35" s="124"/>
      <c r="AA35" s="124"/>
      <c r="AB35" s="124"/>
      <c r="AC35" s="124"/>
      <c r="AD35" s="124"/>
      <c r="AE35" s="271" t="b">
        <v>0</v>
      </c>
      <c r="AF35" s="202"/>
      <c r="AG35" s="202"/>
      <c r="AH35" s="202"/>
      <c r="AI35" s="202"/>
      <c r="AJ35" s="202"/>
      <c r="AK35" s="202"/>
      <c r="AL35" s="202"/>
      <c r="AM35" s="202"/>
      <c r="AN35" s="202"/>
    </row>
    <row r="36" spans="1:40" ht="28.5" customHeight="1" x14ac:dyDescent="0.25">
      <c r="A36" s="32" t="str">
        <f t="shared" si="1"/>
        <v>Não</v>
      </c>
      <c r="B36" s="224">
        <v>28</v>
      </c>
      <c r="C36" s="217">
        <f>IF($L$1=0,0,IF(ISERROR(VLOOKUP($U$11&amp;"-"&amp;B36,'BD Seq Op'!C:H,2,FALSE)),0,VLOOKUP($U$11&amp;"-"&amp;B36,'BD Seq Op'!C:H,2,FALSE)))</f>
        <v>0</v>
      </c>
      <c r="D36" s="218">
        <f>IF($L$1=0,0,IF(ISERROR(VLOOKUP($U$11&amp;"-"&amp;B36,'BD Seq Op'!C:H,5,FALSE)),0,VLOOKUP($U$11&amp;"-"&amp;B36,'BD Seq Op'!C:H,5,FALSE)))</f>
        <v>0</v>
      </c>
      <c r="E36" s="219" t="str">
        <f t="shared" si="0"/>
        <v/>
      </c>
      <c r="F36" s="225"/>
      <c r="G36" s="226"/>
      <c r="H36" s="222" t="str">
        <f t="shared" si="2"/>
        <v/>
      </c>
      <c r="I36" s="223" t="str">
        <f t="shared" si="3"/>
        <v/>
      </c>
      <c r="J36" s="207"/>
      <c r="K36" s="208"/>
      <c r="L36" s="202"/>
      <c r="M36" s="202"/>
      <c r="N36" s="202"/>
      <c r="O36" s="202"/>
      <c r="P36" s="202"/>
      <c r="Q36" s="202"/>
      <c r="T36" s="202"/>
      <c r="U36" s="124"/>
      <c r="V36" s="124"/>
      <c r="W36" s="124"/>
      <c r="X36" s="124"/>
      <c r="Y36" s="124"/>
      <c r="Z36" s="124"/>
      <c r="AA36" s="124"/>
      <c r="AB36" s="124"/>
      <c r="AC36" s="124"/>
      <c r="AD36" s="124"/>
      <c r="AE36" s="271" t="b">
        <v>0</v>
      </c>
      <c r="AF36" s="202"/>
      <c r="AG36" s="202"/>
      <c r="AH36" s="202"/>
      <c r="AI36" s="202"/>
      <c r="AJ36" s="202"/>
      <c r="AK36" s="202"/>
      <c r="AL36" s="202"/>
      <c r="AM36" s="202"/>
      <c r="AN36" s="202"/>
    </row>
    <row r="37" spans="1:40" ht="28.5" customHeight="1" x14ac:dyDescent="0.25">
      <c r="A37" s="32" t="str">
        <f t="shared" si="1"/>
        <v>Não</v>
      </c>
      <c r="B37" s="216">
        <v>29</v>
      </c>
      <c r="C37" s="217">
        <f>IF($L$1=0,0,IF(ISERROR(VLOOKUP($U$11&amp;"-"&amp;B37,'BD Seq Op'!C:H,2,FALSE)),0,VLOOKUP($U$11&amp;"-"&amp;B37,'BD Seq Op'!C:H,2,FALSE)))</f>
        <v>0</v>
      </c>
      <c r="D37" s="218">
        <f>IF($L$1=0,0,IF(ISERROR(VLOOKUP($U$11&amp;"-"&amp;B37,'BD Seq Op'!C:H,5,FALSE)),0,VLOOKUP($U$11&amp;"-"&amp;B37,'BD Seq Op'!C:H,5,FALSE)))</f>
        <v>0</v>
      </c>
      <c r="E37" s="219" t="str">
        <f t="shared" si="0"/>
        <v/>
      </c>
      <c r="F37" s="225"/>
      <c r="G37" s="226"/>
      <c r="H37" s="222" t="str">
        <f t="shared" si="2"/>
        <v/>
      </c>
      <c r="I37" s="223" t="str">
        <f t="shared" si="3"/>
        <v/>
      </c>
      <c r="J37" s="207"/>
      <c r="K37" s="208"/>
      <c r="L37" s="202"/>
      <c r="M37" s="202"/>
      <c r="N37" s="202"/>
      <c r="O37" s="202"/>
      <c r="P37" s="202"/>
      <c r="Q37" s="202"/>
      <c r="T37" s="202"/>
      <c r="U37" s="124"/>
      <c r="V37" s="124"/>
      <c r="W37" s="124"/>
      <c r="X37" s="124"/>
      <c r="Y37" s="124"/>
      <c r="Z37" s="124"/>
      <c r="AA37" s="124"/>
      <c r="AB37" s="124"/>
      <c r="AC37" s="124"/>
      <c r="AD37" s="124"/>
      <c r="AE37" s="271" t="b">
        <v>0</v>
      </c>
      <c r="AF37" s="202"/>
      <c r="AG37" s="202"/>
      <c r="AH37" s="202"/>
      <c r="AI37" s="202"/>
      <c r="AJ37" s="202"/>
      <c r="AK37" s="202"/>
      <c r="AL37" s="202"/>
      <c r="AM37" s="202"/>
      <c r="AN37" s="202"/>
    </row>
    <row r="38" spans="1:40" ht="28.5" customHeight="1" x14ac:dyDescent="0.25">
      <c r="A38" s="32" t="str">
        <f t="shared" si="1"/>
        <v>Não</v>
      </c>
      <c r="B38" s="224">
        <v>30</v>
      </c>
      <c r="C38" s="217">
        <f>IF($L$1=0,0,IF(ISERROR(VLOOKUP($U$11&amp;"-"&amp;B38,'BD Seq Op'!C:H,2,FALSE)),0,VLOOKUP($U$11&amp;"-"&amp;B38,'BD Seq Op'!C:H,2,FALSE)))</f>
        <v>0</v>
      </c>
      <c r="D38" s="218">
        <f>IF($L$1=0,0,IF(ISERROR(VLOOKUP($U$11&amp;"-"&amp;B38,'BD Seq Op'!C:H,5,FALSE)),0,VLOOKUP($U$11&amp;"-"&amp;B38,'BD Seq Op'!C:H,5,FALSE)))</f>
        <v>0</v>
      </c>
      <c r="E38" s="219" t="str">
        <f t="shared" si="0"/>
        <v/>
      </c>
      <c r="F38" s="225"/>
      <c r="G38" s="226"/>
      <c r="H38" s="222" t="str">
        <f t="shared" si="2"/>
        <v/>
      </c>
      <c r="I38" s="223" t="str">
        <f t="shared" si="3"/>
        <v/>
      </c>
      <c r="J38" s="207"/>
      <c r="K38" s="208"/>
      <c r="L38" s="202"/>
      <c r="M38" s="202"/>
      <c r="N38" s="202"/>
      <c r="O38" s="202"/>
      <c r="P38" s="202"/>
      <c r="Q38" s="202"/>
      <c r="T38" s="202"/>
      <c r="U38" s="124"/>
      <c r="V38" s="124"/>
      <c r="W38" s="124"/>
      <c r="X38" s="124"/>
      <c r="Y38" s="124"/>
      <c r="Z38" s="124"/>
      <c r="AA38" s="124"/>
      <c r="AB38" s="124"/>
      <c r="AC38" s="124"/>
      <c r="AD38" s="124"/>
      <c r="AE38" s="271" t="b">
        <v>0</v>
      </c>
      <c r="AF38" s="202"/>
      <c r="AG38" s="202"/>
      <c r="AH38" s="202"/>
      <c r="AI38" s="202"/>
      <c r="AJ38" s="202"/>
      <c r="AK38" s="202"/>
      <c r="AL38" s="202"/>
      <c r="AM38" s="202"/>
      <c r="AN38" s="202"/>
    </row>
    <row r="39" spans="1:40" ht="28.5" customHeight="1" x14ac:dyDescent="0.25">
      <c r="A39" s="32" t="str">
        <f t="shared" si="1"/>
        <v>Não</v>
      </c>
      <c r="B39" s="216">
        <v>31</v>
      </c>
      <c r="C39" s="217">
        <f>IF($L$1=0,0,IF(ISERROR(VLOOKUP($U$11&amp;"-"&amp;B39,'BD Seq Op'!C:H,2,FALSE)),0,VLOOKUP($U$11&amp;"-"&amp;B39,'BD Seq Op'!C:H,2,FALSE)))</f>
        <v>0</v>
      </c>
      <c r="D39" s="218">
        <f>IF($L$1=0,0,IF(ISERROR(VLOOKUP($U$11&amp;"-"&amp;B39,'BD Seq Op'!C:H,5,FALSE)),0,VLOOKUP($U$11&amp;"-"&amp;B39,'BD Seq Op'!C:H,5,FALSE)))</f>
        <v>0</v>
      </c>
      <c r="E39" s="219" t="str">
        <f t="shared" si="0"/>
        <v/>
      </c>
      <c r="F39" s="225"/>
      <c r="G39" s="226"/>
      <c r="H39" s="222" t="str">
        <f t="shared" si="2"/>
        <v/>
      </c>
      <c r="I39" s="223" t="str">
        <f t="shared" si="3"/>
        <v/>
      </c>
      <c r="J39" s="207"/>
      <c r="K39" s="208"/>
      <c r="L39" s="202"/>
      <c r="M39" s="202"/>
      <c r="N39" s="202"/>
      <c r="O39" s="202"/>
      <c r="P39" s="202"/>
      <c r="Q39" s="202"/>
      <c r="T39" s="202"/>
      <c r="U39" s="124"/>
      <c r="V39" s="124"/>
      <c r="W39" s="124"/>
      <c r="X39" s="124"/>
      <c r="Y39" s="124"/>
      <c r="Z39" s="124"/>
      <c r="AA39" s="124"/>
      <c r="AB39" s="124"/>
      <c r="AC39" s="124"/>
      <c r="AD39" s="124"/>
      <c r="AE39" s="271" t="b">
        <v>0</v>
      </c>
      <c r="AF39" s="202"/>
      <c r="AG39" s="202"/>
      <c r="AH39" s="202"/>
      <c r="AI39" s="202"/>
      <c r="AJ39" s="202"/>
      <c r="AK39" s="202"/>
      <c r="AL39" s="202"/>
      <c r="AM39" s="202"/>
      <c r="AN39" s="202"/>
    </row>
    <row r="40" spans="1:40" ht="28.5" customHeight="1" x14ac:dyDescent="0.25">
      <c r="A40" s="32" t="str">
        <f t="shared" si="1"/>
        <v>Não</v>
      </c>
      <c r="B40" s="224">
        <v>32</v>
      </c>
      <c r="C40" s="217">
        <f>IF($L$1=0,0,IF(ISERROR(VLOOKUP($U$11&amp;"-"&amp;B40,'BD Seq Op'!C:H,2,FALSE)),0,VLOOKUP($U$11&amp;"-"&amp;B40,'BD Seq Op'!C:H,2,FALSE)))</f>
        <v>0</v>
      </c>
      <c r="D40" s="218">
        <f>IF($L$1=0,0,IF(ISERROR(VLOOKUP($U$11&amp;"-"&amp;B40,'BD Seq Op'!C:H,5,FALSE)),0,VLOOKUP($U$11&amp;"-"&amp;B40,'BD Seq Op'!C:H,5,FALSE)))</f>
        <v>0</v>
      </c>
      <c r="E40" s="219" t="str">
        <f t="shared" si="0"/>
        <v/>
      </c>
      <c r="F40" s="225"/>
      <c r="G40" s="226"/>
      <c r="H40" s="222" t="str">
        <f t="shared" si="2"/>
        <v/>
      </c>
      <c r="I40" s="223" t="str">
        <f t="shared" si="3"/>
        <v/>
      </c>
      <c r="J40" s="207"/>
      <c r="K40" s="208"/>
      <c r="L40" s="202"/>
      <c r="M40" s="202"/>
      <c r="N40" s="202"/>
      <c r="O40" s="202"/>
      <c r="P40" s="202"/>
      <c r="Q40" s="202"/>
      <c r="T40" s="202"/>
      <c r="U40" s="124"/>
      <c r="V40" s="124"/>
      <c r="W40" s="124"/>
      <c r="X40" s="124"/>
      <c r="Y40" s="124"/>
      <c r="Z40" s="124"/>
      <c r="AA40" s="124"/>
      <c r="AB40" s="124"/>
      <c r="AC40" s="124"/>
      <c r="AD40" s="124"/>
      <c r="AE40" s="271" t="b">
        <v>0</v>
      </c>
      <c r="AF40" s="202"/>
      <c r="AG40" s="202"/>
      <c r="AH40" s="202"/>
      <c r="AI40" s="202"/>
      <c r="AJ40" s="202"/>
      <c r="AK40" s="202"/>
      <c r="AL40" s="202"/>
      <c r="AM40" s="202"/>
      <c r="AN40" s="202"/>
    </row>
    <row r="41" spans="1:40" ht="28.5" customHeight="1" x14ac:dyDescent="0.25">
      <c r="A41" s="32" t="str">
        <f t="shared" si="1"/>
        <v>Não</v>
      </c>
      <c r="B41" s="216">
        <v>33</v>
      </c>
      <c r="C41" s="217">
        <f>IF($L$1=0,0,IF(ISERROR(VLOOKUP($U$11&amp;"-"&amp;B41,'BD Seq Op'!C:H,2,FALSE)),0,VLOOKUP($U$11&amp;"-"&amp;B41,'BD Seq Op'!C:H,2,FALSE)))</f>
        <v>0</v>
      </c>
      <c r="D41" s="218">
        <f>IF($L$1=0,0,IF(ISERROR(VLOOKUP($U$11&amp;"-"&amp;B41,'BD Seq Op'!C:H,5,FALSE)),0,VLOOKUP($U$11&amp;"-"&amp;B41,'BD Seq Op'!C:H,5,FALSE)))</f>
        <v>0</v>
      </c>
      <c r="E41" s="219" t="str">
        <f t="shared" ref="E41:E72" si="4">IF(C41=0,"",IF($U$1=TRUE,(60*$L$5)/D41,60/D41))</f>
        <v/>
      </c>
      <c r="F41" s="225"/>
      <c r="G41" s="226"/>
      <c r="H41" s="222" t="str">
        <f t="shared" si="2"/>
        <v/>
      </c>
      <c r="I41" s="223" t="str">
        <f t="shared" si="3"/>
        <v/>
      </c>
      <c r="J41" s="207"/>
      <c r="K41" s="208"/>
      <c r="L41" s="202"/>
      <c r="M41" s="202"/>
      <c r="N41" s="202"/>
      <c r="O41" s="202"/>
      <c r="P41" s="202"/>
      <c r="Q41" s="202"/>
      <c r="T41" s="202"/>
      <c r="U41" s="124"/>
      <c r="V41" s="124"/>
      <c r="W41" s="124"/>
      <c r="X41" s="124"/>
      <c r="Y41" s="124"/>
      <c r="Z41" s="124"/>
      <c r="AA41" s="124"/>
      <c r="AB41" s="124"/>
      <c r="AC41" s="124"/>
      <c r="AD41" s="124"/>
      <c r="AE41" s="271" t="b">
        <v>0</v>
      </c>
      <c r="AF41" s="202"/>
      <c r="AG41" s="202"/>
      <c r="AH41" s="202"/>
      <c r="AI41" s="202"/>
      <c r="AJ41" s="202"/>
      <c r="AK41" s="202"/>
      <c r="AL41" s="202"/>
      <c r="AM41" s="202"/>
      <c r="AN41" s="202"/>
    </row>
    <row r="42" spans="1:40" ht="28.5" customHeight="1" x14ac:dyDescent="0.25">
      <c r="A42" s="32" t="str">
        <f t="shared" si="1"/>
        <v>Não</v>
      </c>
      <c r="B42" s="224">
        <v>34</v>
      </c>
      <c r="C42" s="217">
        <f>IF($L$1=0,0,IF(ISERROR(VLOOKUP($U$11&amp;"-"&amp;B42,'BD Seq Op'!C:H,2,FALSE)),0,VLOOKUP($U$11&amp;"-"&amp;B42,'BD Seq Op'!C:H,2,FALSE)))</f>
        <v>0</v>
      </c>
      <c r="D42" s="218">
        <f>IF($L$1=0,0,IF(ISERROR(VLOOKUP($U$11&amp;"-"&amp;B42,'BD Seq Op'!C:H,5,FALSE)),0,VLOOKUP($U$11&amp;"-"&amp;B42,'BD Seq Op'!C:H,5,FALSE)))</f>
        <v>0</v>
      </c>
      <c r="E42" s="219" t="str">
        <f t="shared" si="4"/>
        <v/>
      </c>
      <c r="F42" s="225"/>
      <c r="G42" s="226"/>
      <c r="H42" s="222" t="str">
        <f t="shared" si="2"/>
        <v/>
      </c>
      <c r="I42" s="223" t="str">
        <f t="shared" si="3"/>
        <v/>
      </c>
      <c r="J42" s="207"/>
      <c r="K42" s="208"/>
      <c r="L42" s="202"/>
      <c r="M42" s="202"/>
      <c r="N42" s="202"/>
      <c r="O42" s="202"/>
      <c r="P42" s="202"/>
      <c r="Q42" s="202"/>
      <c r="T42" s="202"/>
      <c r="U42" s="124"/>
      <c r="V42" s="124"/>
      <c r="W42" s="124"/>
      <c r="X42" s="124"/>
      <c r="Y42" s="124"/>
      <c r="Z42" s="124"/>
      <c r="AA42" s="124"/>
      <c r="AB42" s="124"/>
      <c r="AC42" s="124"/>
      <c r="AD42" s="124"/>
      <c r="AE42" s="271" t="b">
        <v>0</v>
      </c>
      <c r="AF42" s="202"/>
      <c r="AG42" s="202"/>
      <c r="AH42" s="202"/>
      <c r="AI42" s="202"/>
      <c r="AJ42" s="202"/>
      <c r="AK42" s="202"/>
      <c r="AL42" s="202"/>
      <c r="AM42" s="202"/>
      <c r="AN42" s="202"/>
    </row>
    <row r="43" spans="1:40" ht="28.5" customHeight="1" x14ac:dyDescent="0.25">
      <c r="A43" s="32" t="str">
        <f t="shared" si="1"/>
        <v>Não</v>
      </c>
      <c r="B43" s="216">
        <v>35</v>
      </c>
      <c r="C43" s="217">
        <f>IF($L$1=0,0,IF(ISERROR(VLOOKUP($U$11&amp;"-"&amp;B43,'BD Seq Op'!C:H,2,FALSE)),0,VLOOKUP($U$11&amp;"-"&amp;B43,'BD Seq Op'!C:H,2,FALSE)))</f>
        <v>0</v>
      </c>
      <c r="D43" s="218">
        <f>IF($L$1=0,0,IF(ISERROR(VLOOKUP($U$11&amp;"-"&amp;B43,'BD Seq Op'!C:H,5,FALSE)),0,VLOOKUP($U$11&amp;"-"&amp;B43,'BD Seq Op'!C:H,5,FALSE)))</f>
        <v>0</v>
      </c>
      <c r="E43" s="219" t="str">
        <f t="shared" si="4"/>
        <v/>
      </c>
      <c r="F43" s="225"/>
      <c r="G43" s="226"/>
      <c r="H43" s="222" t="str">
        <f t="shared" si="2"/>
        <v/>
      </c>
      <c r="I43" s="223" t="str">
        <f t="shared" si="3"/>
        <v/>
      </c>
      <c r="J43" s="207"/>
      <c r="K43" s="208"/>
      <c r="L43" s="202"/>
      <c r="M43" s="202"/>
      <c r="N43" s="202"/>
      <c r="O43" s="202"/>
      <c r="P43" s="202"/>
      <c r="Q43" s="202"/>
      <c r="T43" s="202"/>
      <c r="U43" s="124"/>
      <c r="V43" s="124"/>
      <c r="W43" s="124"/>
      <c r="X43" s="124"/>
      <c r="Y43" s="124"/>
      <c r="Z43" s="124"/>
      <c r="AA43" s="124"/>
      <c r="AB43" s="124"/>
      <c r="AC43" s="124"/>
      <c r="AD43" s="124"/>
      <c r="AE43" s="271" t="b">
        <v>0</v>
      </c>
      <c r="AF43" s="202"/>
      <c r="AG43" s="202"/>
      <c r="AH43" s="202"/>
      <c r="AI43" s="202"/>
      <c r="AJ43" s="202"/>
      <c r="AK43" s="202"/>
      <c r="AL43" s="202"/>
      <c r="AM43" s="202"/>
      <c r="AN43" s="202"/>
    </row>
    <row r="44" spans="1:40" ht="28.5" customHeight="1" x14ac:dyDescent="0.25">
      <c r="A44" s="32" t="str">
        <f t="shared" si="1"/>
        <v>Não</v>
      </c>
      <c r="B44" s="224">
        <v>36</v>
      </c>
      <c r="C44" s="217">
        <f>IF($L$1=0,0,IF(ISERROR(VLOOKUP($U$11&amp;"-"&amp;B44,'BD Seq Op'!C:H,2,FALSE)),0,VLOOKUP($U$11&amp;"-"&amp;B44,'BD Seq Op'!C:H,2,FALSE)))</f>
        <v>0</v>
      </c>
      <c r="D44" s="218">
        <f>IF($L$1=0,0,IF(ISERROR(VLOOKUP($U$11&amp;"-"&amp;B44,'BD Seq Op'!C:H,5,FALSE)),0,VLOOKUP($U$11&amp;"-"&amp;B44,'BD Seq Op'!C:H,5,FALSE)))</f>
        <v>0</v>
      </c>
      <c r="E44" s="219" t="str">
        <f t="shared" si="4"/>
        <v/>
      </c>
      <c r="F44" s="225"/>
      <c r="G44" s="226"/>
      <c r="H44" s="222" t="str">
        <f t="shared" si="2"/>
        <v/>
      </c>
      <c r="I44" s="223" t="str">
        <f t="shared" si="3"/>
        <v/>
      </c>
      <c r="J44" s="207"/>
      <c r="K44" s="208"/>
      <c r="L44" s="202"/>
      <c r="M44" s="202"/>
      <c r="N44" s="202"/>
      <c r="O44" s="202"/>
      <c r="P44" s="202"/>
      <c r="Q44" s="202"/>
      <c r="T44" s="202"/>
      <c r="U44" s="124"/>
      <c r="V44" s="124"/>
      <c r="W44" s="124"/>
      <c r="X44" s="124"/>
      <c r="Y44" s="124"/>
      <c r="Z44" s="124"/>
      <c r="AA44" s="124"/>
      <c r="AB44" s="124"/>
      <c r="AC44" s="124"/>
      <c r="AD44" s="124"/>
      <c r="AE44" s="271" t="b">
        <v>0</v>
      </c>
      <c r="AF44" s="202"/>
      <c r="AG44" s="202"/>
      <c r="AH44" s="202"/>
      <c r="AI44" s="202"/>
      <c r="AJ44" s="202"/>
      <c r="AK44" s="202"/>
      <c r="AL44" s="202"/>
      <c r="AM44" s="202"/>
      <c r="AN44" s="202"/>
    </row>
    <row r="45" spans="1:40" ht="28.5" customHeight="1" x14ac:dyDescent="0.25">
      <c r="A45" s="32" t="str">
        <f t="shared" si="1"/>
        <v>Não</v>
      </c>
      <c r="B45" s="216">
        <v>37</v>
      </c>
      <c r="C45" s="217">
        <f>IF($L$1=0,0,IF(ISERROR(VLOOKUP($U$11&amp;"-"&amp;B45,'BD Seq Op'!C:H,2,FALSE)),0,VLOOKUP($U$11&amp;"-"&amp;B45,'BD Seq Op'!C:H,2,FALSE)))</f>
        <v>0</v>
      </c>
      <c r="D45" s="218">
        <f>IF($L$1=0,0,IF(ISERROR(VLOOKUP($U$11&amp;"-"&amp;B45,'BD Seq Op'!C:H,5,FALSE)),0,VLOOKUP($U$11&amp;"-"&amp;B45,'BD Seq Op'!C:H,5,FALSE)))</f>
        <v>0</v>
      </c>
      <c r="E45" s="219" t="str">
        <f t="shared" si="4"/>
        <v/>
      </c>
      <c r="F45" s="225"/>
      <c r="G45" s="226"/>
      <c r="H45" s="222" t="str">
        <f t="shared" si="2"/>
        <v/>
      </c>
      <c r="I45" s="223" t="str">
        <f t="shared" si="3"/>
        <v/>
      </c>
      <c r="J45" s="207"/>
      <c r="K45" s="208"/>
      <c r="L45" s="202"/>
      <c r="M45" s="202"/>
      <c r="N45" s="202"/>
      <c r="O45" s="202"/>
      <c r="P45" s="202"/>
      <c r="Q45" s="202"/>
      <c r="T45" s="202"/>
      <c r="U45" s="124"/>
      <c r="V45" s="124"/>
      <c r="W45" s="124"/>
      <c r="X45" s="124"/>
      <c r="Y45" s="124"/>
      <c r="Z45" s="124"/>
      <c r="AA45" s="124"/>
      <c r="AB45" s="124"/>
      <c r="AC45" s="124"/>
      <c r="AD45" s="124"/>
      <c r="AE45" s="271" t="b">
        <v>0</v>
      </c>
      <c r="AF45" s="202"/>
      <c r="AG45" s="202"/>
      <c r="AH45" s="202"/>
      <c r="AI45" s="202"/>
      <c r="AJ45" s="202"/>
      <c r="AK45" s="202"/>
      <c r="AL45" s="202"/>
      <c r="AM45" s="202"/>
      <c r="AN45" s="202"/>
    </row>
    <row r="46" spans="1:40" ht="28.5" customHeight="1" x14ac:dyDescent="0.25">
      <c r="A46" s="32" t="str">
        <f t="shared" si="1"/>
        <v>Não</v>
      </c>
      <c r="B46" s="224">
        <v>38</v>
      </c>
      <c r="C46" s="217">
        <f>IF($L$1=0,0,IF(ISERROR(VLOOKUP($U$11&amp;"-"&amp;B46,'BD Seq Op'!C:H,2,FALSE)),0,VLOOKUP($U$11&amp;"-"&amp;B46,'BD Seq Op'!C:H,2,FALSE)))</f>
        <v>0</v>
      </c>
      <c r="D46" s="218">
        <f>IF($L$1=0,0,IF(ISERROR(VLOOKUP($U$11&amp;"-"&amp;B46,'BD Seq Op'!C:H,5,FALSE)),0,VLOOKUP($U$11&amp;"-"&amp;B46,'BD Seq Op'!C:H,5,FALSE)))</f>
        <v>0</v>
      </c>
      <c r="E46" s="219" t="str">
        <f t="shared" si="4"/>
        <v/>
      </c>
      <c r="F46" s="225"/>
      <c r="G46" s="226"/>
      <c r="H46" s="222" t="str">
        <f t="shared" si="2"/>
        <v/>
      </c>
      <c r="I46" s="223" t="str">
        <f t="shared" si="3"/>
        <v/>
      </c>
      <c r="J46" s="207"/>
      <c r="K46" s="208"/>
      <c r="L46" s="202"/>
      <c r="M46" s="202"/>
      <c r="N46" s="202"/>
      <c r="O46" s="202"/>
      <c r="P46" s="202"/>
      <c r="Q46" s="202"/>
      <c r="T46" s="202"/>
      <c r="U46" s="124"/>
      <c r="V46" s="124"/>
      <c r="W46" s="124"/>
      <c r="X46" s="124"/>
      <c r="Y46" s="124"/>
      <c r="Z46" s="124"/>
      <c r="AA46" s="124"/>
      <c r="AB46" s="124"/>
      <c r="AC46" s="124"/>
      <c r="AD46" s="124"/>
      <c r="AE46" s="271" t="b">
        <v>0</v>
      </c>
      <c r="AF46" s="202"/>
      <c r="AG46" s="202"/>
      <c r="AH46" s="202"/>
      <c r="AI46" s="202"/>
      <c r="AJ46" s="202"/>
      <c r="AK46" s="202"/>
      <c r="AL46" s="202"/>
      <c r="AM46" s="202"/>
      <c r="AN46" s="202"/>
    </row>
    <row r="47" spans="1:40" ht="28.5" customHeight="1" x14ac:dyDescent="0.25">
      <c r="A47" s="32" t="str">
        <f t="shared" si="1"/>
        <v>Não</v>
      </c>
      <c r="B47" s="216">
        <v>39</v>
      </c>
      <c r="C47" s="217">
        <f>IF($L$1=0,0,IF(ISERROR(VLOOKUP($U$11&amp;"-"&amp;B47,'BD Seq Op'!C:H,2,FALSE)),0,VLOOKUP($U$11&amp;"-"&amp;B47,'BD Seq Op'!C:H,2,FALSE)))</f>
        <v>0</v>
      </c>
      <c r="D47" s="218">
        <f>IF($L$1=0,0,IF(ISERROR(VLOOKUP($U$11&amp;"-"&amp;B47,'BD Seq Op'!C:H,5,FALSE)),0,VLOOKUP($U$11&amp;"-"&amp;B47,'BD Seq Op'!C:H,5,FALSE)))</f>
        <v>0</v>
      </c>
      <c r="E47" s="219" t="str">
        <f t="shared" si="4"/>
        <v/>
      </c>
      <c r="F47" s="225"/>
      <c r="G47" s="226"/>
      <c r="H47" s="222" t="str">
        <f t="shared" si="2"/>
        <v/>
      </c>
      <c r="I47" s="223" t="str">
        <f t="shared" si="3"/>
        <v/>
      </c>
      <c r="J47" s="207"/>
      <c r="K47" s="208"/>
      <c r="L47" s="202"/>
      <c r="M47" s="202"/>
      <c r="N47" s="202"/>
      <c r="O47" s="202"/>
      <c r="P47" s="202"/>
      <c r="Q47" s="202"/>
      <c r="T47" s="202"/>
      <c r="U47" s="124"/>
      <c r="V47" s="124"/>
      <c r="W47" s="124"/>
      <c r="X47" s="124"/>
      <c r="Y47" s="124"/>
      <c r="Z47" s="124"/>
      <c r="AA47" s="124"/>
      <c r="AB47" s="124"/>
      <c r="AC47" s="124"/>
      <c r="AD47" s="124"/>
      <c r="AE47" s="271" t="b">
        <v>0</v>
      </c>
      <c r="AF47" s="202"/>
      <c r="AG47" s="202"/>
      <c r="AH47" s="202"/>
      <c r="AI47" s="202"/>
      <c r="AJ47" s="202"/>
      <c r="AK47" s="202"/>
      <c r="AL47" s="202"/>
      <c r="AM47" s="202"/>
      <c r="AN47" s="202"/>
    </row>
    <row r="48" spans="1:40" ht="28.5" customHeight="1" x14ac:dyDescent="0.25">
      <c r="A48" s="32" t="str">
        <f t="shared" si="1"/>
        <v>Não</v>
      </c>
      <c r="B48" s="224">
        <v>40</v>
      </c>
      <c r="C48" s="217">
        <f>IF($L$1=0,0,IF(ISERROR(VLOOKUP($U$11&amp;"-"&amp;B48,'BD Seq Op'!C:H,2,FALSE)),0,VLOOKUP($U$11&amp;"-"&amp;B48,'BD Seq Op'!C:H,2,FALSE)))</f>
        <v>0</v>
      </c>
      <c r="D48" s="218">
        <f>IF($L$1=0,0,IF(ISERROR(VLOOKUP($U$11&amp;"-"&amp;B48,'BD Seq Op'!C:H,5,FALSE)),0,VLOOKUP($U$11&amp;"-"&amp;B48,'BD Seq Op'!C:H,5,FALSE)))</f>
        <v>0</v>
      </c>
      <c r="E48" s="219" t="str">
        <f t="shared" si="4"/>
        <v/>
      </c>
      <c r="F48" s="225"/>
      <c r="G48" s="226"/>
      <c r="H48" s="222" t="str">
        <f t="shared" si="2"/>
        <v/>
      </c>
      <c r="I48" s="223" t="str">
        <f t="shared" si="3"/>
        <v/>
      </c>
      <c r="J48" s="207"/>
      <c r="K48" s="208"/>
      <c r="L48" s="202"/>
      <c r="M48" s="202"/>
      <c r="N48" s="202"/>
      <c r="O48" s="202"/>
      <c r="P48" s="202"/>
      <c r="Q48" s="202"/>
      <c r="T48" s="202"/>
      <c r="U48" s="124"/>
      <c r="V48" s="124"/>
      <c r="W48" s="124"/>
      <c r="X48" s="124"/>
      <c r="Y48" s="124"/>
      <c r="Z48" s="124"/>
      <c r="AA48" s="124"/>
      <c r="AB48" s="124"/>
      <c r="AC48" s="124"/>
      <c r="AD48" s="124"/>
      <c r="AE48" s="271" t="b">
        <v>0</v>
      </c>
      <c r="AF48" s="202"/>
      <c r="AG48" s="202"/>
      <c r="AH48" s="202"/>
      <c r="AI48" s="202"/>
      <c r="AJ48" s="202"/>
      <c r="AK48" s="202"/>
      <c r="AL48" s="202"/>
      <c r="AM48" s="202"/>
      <c r="AN48" s="202"/>
    </row>
    <row r="49" spans="1:40" ht="28.5" customHeight="1" x14ac:dyDescent="0.25">
      <c r="A49" s="32" t="str">
        <f t="shared" si="1"/>
        <v>Não</v>
      </c>
      <c r="B49" s="216">
        <v>41</v>
      </c>
      <c r="C49" s="217">
        <f>IF($L$1=0,0,IF(ISERROR(VLOOKUP($U$11&amp;"-"&amp;B49,'BD Seq Op'!C:H,2,FALSE)),0,VLOOKUP($U$11&amp;"-"&amp;B49,'BD Seq Op'!C:H,2,FALSE)))</f>
        <v>0</v>
      </c>
      <c r="D49" s="218">
        <f>IF($L$1=0,0,IF(ISERROR(VLOOKUP($U$11&amp;"-"&amp;B49,'BD Seq Op'!C:H,5,FALSE)),0,VLOOKUP($U$11&amp;"-"&amp;B49,'BD Seq Op'!C:H,5,FALSE)))</f>
        <v>0</v>
      </c>
      <c r="E49" s="219" t="str">
        <f t="shared" si="4"/>
        <v/>
      </c>
      <c r="F49" s="225"/>
      <c r="G49" s="226"/>
      <c r="H49" s="222" t="str">
        <f t="shared" si="2"/>
        <v/>
      </c>
      <c r="I49" s="223" t="str">
        <f t="shared" si="3"/>
        <v/>
      </c>
      <c r="J49" s="207"/>
      <c r="K49" s="208"/>
      <c r="L49" s="202"/>
      <c r="M49" s="202"/>
      <c r="N49" s="202"/>
      <c r="O49" s="202"/>
      <c r="P49" s="202"/>
      <c r="Q49" s="202"/>
      <c r="T49" s="202"/>
      <c r="U49" s="124"/>
      <c r="V49" s="124"/>
      <c r="W49" s="124"/>
      <c r="X49" s="124"/>
      <c r="Y49" s="124"/>
      <c r="Z49" s="124"/>
      <c r="AA49" s="124"/>
      <c r="AB49" s="124"/>
      <c r="AC49" s="124"/>
      <c r="AD49" s="124"/>
      <c r="AE49" s="271" t="b">
        <v>0</v>
      </c>
      <c r="AF49" s="202"/>
      <c r="AG49" s="202"/>
      <c r="AH49" s="202"/>
      <c r="AI49" s="202"/>
      <c r="AJ49" s="202"/>
      <c r="AK49" s="202"/>
      <c r="AL49" s="202"/>
      <c r="AM49" s="202"/>
      <c r="AN49" s="202"/>
    </row>
    <row r="50" spans="1:40" ht="28.5" customHeight="1" x14ac:dyDescent="0.25">
      <c r="A50" s="32" t="str">
        <f t="shared" si="1"/>
        <v>Não</v>
      </c>
      <c r="B50" s="224">
        <v>42</v>
      </c>
      <c r="C50" s="217">
        <f>IF($L$1=0,0,IF(ISERROR(VLOOKUP($U$11&amp;"-"&amp;B50,'BD Seq Op'!C:H,2,FALSE)),0,VLOOKUP($U$11&amp;"-"&amp;B50,'BD Seq Op'!C:H,2,FALSE)))</f>
        <v>0</v>
      </c>
      <c r="D50" s="218">
        <f>IF($L$1=0,0,IF(ISERROR(VLOOKUP($U$11&amp;"-"&amp;B50,'BD Seq Op'!C:H,5,FALSE)),0,VLOOKUP($U$11&amp;"-"&amp;B50,'BD Seq Op'!C:H,5,FALSE)))</f>
        <v>0</v>
      </c>
      <c r="E50" s="219" t="str">
        <f t="shared" si="4"/>
        <v/>
      </c>
      <c r="F50" s="225"/>
      <c r="G50" s="226"/>
      <c r="H50" s="222" t="str">
        <f t="shared" si="2"/>
        <v/>
      </c>
      <c r="I50" s="223" t="str">
        <f t="shared" si="3"/>
        <v/>
      </c>
      <c r="J50" s="207"/>
      <c r="K50" s="208"/>
      <c r="L50" s="202"/>
      <c r="M50" s="202"/>
      <c r="N50" s="202"/>
      <c r="O50" s="202"/>
      <c r="P50" s="202"/>
      <c r="Q50" s="202"/>
      <c r="T50" s="202"/>
      <c r="U50" s="124"/>
      <c r="V50" s="124"/>
      <c r="W50" s="124"/>
      <c r="X50" s="124"/>
      <c r="Y50" s="124"/>
      <c r="Z50" s="124"/>
      <c r="AA50" s="124"/>
      <c r="AB50" s="124"/>
      <c r="AC50" s="124"/>
      <c r="AD50" s="124"/>
      <c r="AE50" s="271" t="b">
        <v>0</v>
      </c>
      <c r="AF50" s="202"/>
      <c r="AG50" s="202"/>
      <c r="AH50" s="202"/>
      <c r="AI50" s="202"/>
      <c r="AJ50" s="202"/>
      <c r="AK50" s="202"/>
      <c r="AL50" s="202"/>
      <c r="AM50" s="202"/>
      <c r="AN50" s="202"/>
    </row>
    <row r="51" spans="1:40" ht="28.5" customHeight="1" x14ac:dyDescent="0.25">
      <c r="A51" s="32" t="str">
        <f t="shared" si="1"/>
        <v>Não</v>
      </c>
      <c r="B51" s="216">
        <v>43</v>
      </c>
      <c r="C51" s="217">
        <f>IF($L$1=0,0,IF(ISERROR(VLOOKUP($U$11&amp;"-"&amp;B51,'BD Seq Op'!C:H,2,FALSE)),0,VLOOKUP($U$11&amp;"-"&amp;B51,'BD Seq Op'!C:H,2,FALSE)))</f>
        <v>0</v>
      </c>
      <c r="D51" s="218">
        <f>IF($L$1=0,0,IF(ISERROR(VLOOKUP($U$11&amp;"-"&amp;B51,'BD Seq Op'!C:H,5,FALSE)),0,VLOOKUP($U$11&amp;"-"&amp;B51,'BD Seq Op'!C:H,5,FALSE)))</f>
        <v>0</v>
      </c>
      <c r="E51" s="219" t="str">
        <f t="shared" si="4"/>
        <v/>
      </c>
      <c r="F51" s="225"/>
      <c r="G51" s="226"/>
      <c r="H51" s="222" t="str">
        <f t="shared" si="2"/>
        <v/>
      </c>
      <c r="I51" s="223" t="str">
        <f t="shared" si="3"/>
        <v/>
      </c>
      <c r="J51" s="207"/>
      <c r="K51" s="208"/>
      <c r="L51" s="202"/>
      <c r="M51" s="202"/>
      <c r="N51" s="202"/>
      <c r="O51" s="202"/>
      <c r="P51" s="202"/>
      <c r="Q51" s="202"/>
      <c r="T51" s="202"/>
      <c r="U51" s="124"/>
      <c r="V51" s="124"/>
      <c r="W51" s="124"/>
      <c r="X51" s="124"/>
      <c r="Y51" s="124"/>
      <c r="Z51" s="124"/>
      <c r="AA51" s="124"/>
      <c r="AB51" s="124"/>
      <c r="AC51" s="124"/>
      <c r="AD51" s="124"/>
      <c r="AE51" s="271" t="b">
        <v>0</v>
      </c>
      <c r="AF51" s="202"/>
      <c r="AG51" s="202"/>
      <c r="AH51" s="202"/>
      <c r="AI51" s="202"/>
      <c r="AJ51" s="202"/>
      <c r="AK51" s="202"/>
      <c r="AL51" s="202"/>
      <c r="AM51" s="202"/>
      <c r="AN51" s="202"/>
    </row>
    <row r="52" spans="1:40" ht="28.5" customHeight="1" x14ac:dyDescent="0.25">
      <c r="A52" s="32" t="str">
        <f t="shared" si="1"/>
        <v>Não</v>
      </c>
      <c r="B52" s="224">
        <v>44</v>
      </c>
      <c r="C52" s="217">
        <f>IF($L$1=0,0,IF(ISERROR(VLOOKUP($U$11&amp;"-"&amp;B52,'BD Seq Op'!C:H,2,FALSE)),0,VLOOKUP($U$11&amp;"-"&amp;B52,'BD Seq Op'!C:H,2,FALSE)))</f>
        <v>0</v>
      </c>
      <c r="D52" s="218">
        <f>IF($L$1=0,0,IF(ISERROR(VLOOKUP($U$11&amp;"-"&amp;B52,'BD Seq Op'!C:H,5,FALSE)),0,VLOOKUP($U$11&amp;"-"&amp;B52,'BD Seq Op'!C:H,5,FALSE)))</f>
        <v>0</v>
      </c>
      <c r="E52" s="219" t="str">
        <f t="shared" si="4"/>
        <v/>
      </c>
      <c r="F52" s="225"/>
      <c r="G52" s="226"/>
      <c r="H52" s="222" t="str">
        <f t="shared" si="2"/>
        <v/>
      </c>
      <c r="I52" s="223" t="str">
        <f t="shared" si="3"/>
        <v/>
      </c>
      <c r="J52" s="207"/>
      <c r="K52" s="208"/>
      <c r="L52" s="202"/>
      <c r="M52" s="202"/>
      <c r="N52" s="202"/>
      <c r="O52" s="202"/>
      <c r="P52" s="202"/>
      <c r="Q52" s="202"/>
      <c r="T52" s="202"/>
      <c r="U52" s="124"/>
      <c r="V52" s="124"/>
      <c r="W52" s="124"/>
      <c r="X52" s="124"/>
      <c r="Y52" s="124"/>
      <c r="Z52" s="124"/>
      <c r="AA52" s="124"/>
      <c r="AB52" s="124"/>
      <c r="AC52" s="124"/>
      <c r="AD52" s="124"/>
      <c r="AE52" s="271" t="b">
        <v>0</v>
      </c>
      <c r="AF52" s="202"/>
      <c r="AG52" s="202"/>
      <c r="AH52" s="202"/>
      <c r="AI52" s="202"/>
      <c r="AJ52" s="202"/>
      <c r="AK52" s="202"/>
      <c r="AL52" s="202"/>
      <c r="AM52" s="202"/>
      <c r="AN52" s="202"/>
    </row>
    <row r="53" spans="1:40" ht="28.5" customHeight="1" x14ac:dyDescent="0.25">
      <c r="A53" s="32" t="str">
        <f t="shared" si="1"/>
        <v>Não</v>
      </c>
      <c r="B53" s="216">
        <v>45</v>
      </c>
      <c r="C53" s="217">
        <f>IF($L$1=0,0,IF(ISERROR(VLOOKUP($U$11&amp;"-"&amp;B53,'BD Seq Op'!C:H,2,FALSE)),0,VLOOKUP($U$11&amp;"-"&amp;B53,'BD Seq Op'!C:H,2,FALSE)))</f>
        <v>0</v>
      </c>
      <c r="D53" s="218">
        <f>IF($L$1=0,0,IF(ISERROR(VLOOKUP($U$11&amp;"-"&amp;B53,'BD Seq Op'!C:H,5,FALSE)),0,VLOOKUP($U$11&amp;"-"&amp;B53,'BD Seq Op'!C:H,5,FALSE)))</f>
        <v>0</v>
      </c>
      <c r="E53" s="219" t="str">
        <f t="shared" si="4"/>
        <v/>
      </c>
      <c r="F53" s="225"/>
      <c r="G53" s="226"/>
      <c r="H53" s="222" t="str">
        <f t="shared" si="2"/>
        <v/>
      </c>
      <c r="I53" s="223" t="str">
        <f t="shared" si="3"/>
        <v/>
      </c>
      <c r="J53" s="207"/>
      <c r="K53" s="208"/>
      <c r="L53" s="202"/>
      <c r="M53" s="202"/>
      <c r="N53" s="202"/>
      <c r="O53" s="202"/>
      <c r="P53" s="202"/>
      <c r="Q53" s="202"/>
      <c r="T53" s="202"/>
      <c r="U53" s="124"/>
      <c r="V53" s="124"/>
      <c r="W53" s="124"/>
      <c r="X53" s="124"/>
      <c r="Y53" s="124"/>
      <c r="Z53" s="124"/>
      <c r="AA53" s="124"/>
      <c r="AB53" s="124"/>
      <c r="AC53" s="124"/>
      <c r="AD53" s="124"/>
      <c r="AE53" s="271" t="b">
        <v>0</v>
      </c>
      <c r="AF53" s="202"/>
      <c r="AG53" s="202"/>
      <c r="AH53" s="202"/>
      <c r="AI53" s="202"/>
      <c r="AJ53" s="202"/>
      <c r="AK53" s="202"/>
      <c r="AL53" s="202"/>
      <c r="AM53" s="202"/>
      <c r="AN53" s="202"/>
    </row>
    <row r="54" spans="1:40" ht="28.5" customHeight="1" x14ac:dyDescent="0.25">
      <c r="A54" s="32" t="str">
        <f t="shared" si="1"/>
        <v>Não</v>
      </c>
      <c r="B54" s="224">
        <v>46</v>
      </c>
      <c r="C54" s="217">
        <f>IF($L$1=0,0,IF(ISERROR(VLOOKUP($U$11&amp;"-"&amp;B54,'BD Seq Op'!C:H,2,FALSE)),0,VLOOKUP($U$11&amp;"-"&amp;B54,'BD Seq Op'!C:H,2,FALSE)))</f>
        <v>0</v>
      </c>
      <c r="D54" s="218">
        <f>IF($L$1=0,0,IF(ISERROR(VLOOKUP($U$11&amp;"-"&amp;B54,'BD Seq Op'!C:H,5,FALSE)),0,VLOOKUP($U$11&amp;"-"&amp;B54,'BD Seq Op'!C:H,5,FALSE)))</f>
        <v>0</v>
      </c>
      <c r="E54" s="219" t="str">
        <f t="shared" si="4"/>
        <v/>
      </c>
      <c r="F54" s="225"/>
      <c r="G54" s="226"/>
      <c r="H54" s="222" t="str">
        <f t="shared" si="2"/>
        <v/>
      </c>
      <c r="I54" s="223" t="str">
        <f t="shared" si="3"/>
        <v/>
      </c>
      <c r="J54" s="207"/>
      <c r="K54" s="208"/>
      <c r="L54" s="202"/>
      <c r="M54" s="202"/>
      <c r="N54" s="202"/>
      <c r="O54" s="202"/>
      <c r="P54" s="202"/>
      <c r="Q54" s="202"/>
      <c r="T54" s="202"/>
      <c r="U54" s="124"/>
      <c r="V54" s="124"/>
      <c r="W54" s="124"/>
      <c r="X54" s="124"/>
      <c r="Y54" s="124"/>
      <c r="Z54" s="124"/>
      <c r="AA54" s="124"/>
      <c r="AB54" s="124"/>
      <c r="AC54" s="124"/>
      <c r="AD54" s="124"/>
      <c r="AE54" s="271" t="b">
        <v>0</v>
      </c>
      <c r="AF54" s="202"/>
      <c r="AG54" s="202"/>
      <c r="AH54" s="202"/>
      <c r="AI54" s="202"/>
      <c r="AJ54" s="202"/>
      <c r="AK54" s="202"/>
      <c r="AL54" s="202"/>
      <c r="AM54" s="202"/>
      <c r="AN54" s="202"/>
    </row>
    <row r="55" spans="1:40" ht="28.5" customHeight="1" x14ac:dyDescent="0.25">
      <c r="A55" s="32" t="str">
        <f t="shared" si="1"/>
        <v>Não</v>
      </c>
      <c r="B55" s="216">
        <v>47</v>
      </c>
      <c r="C55" s="217">
        <f>IF($L$1=0,0,IF(ISERROR(VLOOKUP($U$11&amp;"-"&amp;B55,'BD Seq Op'!C:H,2,FALSE)),0,VLOOKUP($U$11&amp;"-"&amp;B55,'BD Seq Op'!C:H,2,FALSE)))</f>
        <v>0</v>
      </c>
      <c r="D55" s="218">
        <f>IF($L$1=0,0,IF(ISERROR(VLOOKUP($U$11&amp;"-"&amp;B55,'BD Seq Op'!C:H,5,FALSE)),0,VLOOKUP($U$11&amp;"-"&amp;B55,'BD Seq Op'!C:H,5,FALSE)))</f>
        <v>0</v>
      </c>
      <c r="E55" s="219" t="str">
        <f t="shared" si="4"/>
        <v/>
      </c>
      <c r="F55" s="225"/>
      <c r="G55" s="226"/>
      <c r="H55" s="222" t="str">
        <f t="shared" si="2"/>
        <v/>
      </c>
      <c r="I55" s="223" t="str">
        <f t="shared" si="3"/>
        <v/>
      </c>
      <c r="J55" s="207"/>
      <c r="K55" s="208"/>
      <c r="L55" s="202"/>
      <c r="M55" s="202"/>
      <c r="N55" s="202"/>
      <c r="O55" s="202"/>
      <c r="P55" s="202"/>
      <c r="Q55" s="202"/>
      <c r="T55" s="202"/>
      <c r="U55" s="124"/>
      <c r="V55" s="124"/>
      <c r="W55" s="124"/>
      <c r="X55" s="124"/>
      <c r="Y55" s="124"/>
      <c r="Z55" s="124"/>
      <c r="AA55" s="124"/>
      <c r="AB55" s="124"/>
      <c r="AC55" s="124"/>
      <c r="AD55" s="124"/>
      <c r="AE55" s="271" t="b">
        <v>0</v>
      </c>
      <c r="AF55" s="202"/>
      <c r="AG55" s="202"/>
      <c r="AH55" s="202"/>
      <c r="AI55" s="202"/>
      <c r="AJ55" s="202"/>
      <c r="AK55" s="202"/>
      <c r="AL55" s="202"/>
      <c r="AM55" s="202"/>
      <c r="AN55" s="202"/>
    </row>
    <row r="56" spans="1:40" ht="28.5" customHeight="1" x14ac:dyDescent="0.25">
      <c r="A56" s="32" t="str">
        <f t="shared" si="1"/>
        <v>Não</v>
      </c>
      <c r="B56" s="224">
        <v>48</v>
      </c>
      <c r="C56" s="217">
        <f>IF($L$1=0,0,IF(ISERROR(VLOOKUP($U$11&amp;"-"&amp;B56,'BD Seq Op'!C:H,2,FALSE)),0,VLOOKUP($U$11&amp;"-"&amp;B56,'BD Seq Op'!C:H,2,FALSE)))</f>
        <v>0</v>
      </c>
      <c r="D56" s="218">
        <f>IF($L$1=0,0,IF(ISERROR(VLOOKUP($U$11&amp;"-"&amp;B56,'BD Seq Op'!C:H,5,FALSE)),0,VLOOKUP($U$11&amp;"-"&amp;B56,'BD Seq Op'!C:H,5,FALSE)))</f>
        <v>0</v>
      </c>
      <c r="E56" s="219" t="str">
        <f t="shared" si="4"/>
        <v/>
      </c>
      <c r="F56" s="225"/>
      <c r="G56" s="226"/>
      <c r="H56" s="222" t="str">
        <f t="shared" si="2"/>
        <v/>
      </c>
      <c r="I56" s="223" t="str">
        <f t="shared" si="3"/>
        <v/>
      </c>
      <c r="J56" s="207"/>
      <c r="K56" s="208"/>
      <c r="L56" s="202"/>
      <c r="M56" s="202"/>
      <c r="N56" s="202"/>
      <c r="O56" s="202"/>
      <c r="P56" s="202"/>
      <c r="Q56" s="202"/>
      <c r="T56" s="202"/>
      <c r="U56" s="124"/>
      <c r="V56" s="124"/>
      <c r="W56" s="124"/>
      <c r="X56" s="124"/>
      <c r="Y56" s="124"/>
      <c r="Z56" s="124"/>
      <c r="AA56" s="124"/>
      <c r="AB56" s="124"/>
      <c r="AC56" s="124"/>
      <c r="AD56" s="124"/>
      <c r="AE56" s="271" t="b">
        <v>0</v>
      </c>
      <c r="AF56" s="202"/>
      <c r="AG56" s="202"/>
      <c r="AH56" s="202"/>
      <c r="AI56" s="202"/>
      <c r="AJ56" s="202"/>
      <c r="AK56" s="202"/>
      <c r="AL56" s="202"/>
      <c r="AM56" s="202"/>
      <c r="AN56" s="202"/>
    </row>
    <row r="57" spans="1:40" ht="28.5" customHeight="1" x14ac:dyDescent="0.25">
      <c r="A57" s="32" t="str">
        <f t="shared" si="1"/>
        <v>Não</v>
      </c>
      <c r="B57" s="216">
        <v>49</v>
      </c>
      <c r="C57" s="217">
        <f>IF($L$1=0,0,IF(ISERROR(VLOOKUP($U$11&amp;"-"&amp;B57,'BD Seq Op'!C:H,2,FALSE)),0,VLOOKUP($U$11&amp;"-"&amp;B57,'BD Seq Op'!C:H,2,FALSE)))</f>
        <v>0</v>
      </c>
      <c r="D57" s="218">
        <f>IF($L$1=0,0,IF(ISERROR(VLOOKUP($U$11&amp;"-"&amp;B57,'BD Seq Op'!C:H,5,FALSE)),0,VLOOKUP($U$11&amp;"-"&amp;B57,'BD Seq Op'!C:H,5,FALSE)))</f>
        <v>0</v>
      </c>
      <c r="E57" s="219" t="str">
        <f t="shared" si="4"/>
        <v/>
      </c>
      <c r="F57" s="225"/>
      <c r="G57" s="226"/>
      <c r="H57" s="222" t="str">
        <f t="shared" si="2"/>
        <v/>
      </c>
      <c r="I57" s="223" t="str">
        <f t="shared" si="3"/>
        <v/>
      </c>
      <c r="J57" s="207"/>
      <c r="K57" s="208"/>
      <c r="L57" s="202"/>
      <c r="M57" s="202"/>
      <c r="N57" s="202"/>
      <c r="O57" s="202"/>
      <c r="P57" s="202"/>
      <c r="Q57" s="202"/>
      <c r="T57" s="202"/>
      <c r="U57" s="124"/>
      <c r="V57" s="124"/>
      <c r="W57" s="124"/>
      <c r="X57" s="124"/>
      <c r="Y57" s="124"/>
      <c r="Z57" s="124"/>
      <c r="AA57" s="124"/>
      <c r="AB57" s="124"/>
      <c r="AC57" s="124"/>
      <c r="AD57" s="124"/>
      <c r="AE57" s="271" t="b">
        <v>0</v>
      </c>
      <c r="AF57" s="202"/>
      <c r="AG57" s="202"/>
      <c r="AH57" s="202"/>
      <c r="AI57" s="202"/>
      <c r="AJ57" s="202"/>
      <c r="AK57" s="202"/>
      <c r="AL57" s="202"/>
      <c r="AM57" s="202"/>
      <c r="AN57" s="202"/>
    </row>
    <row r="58" spans="1:40" ht="28.5" customHeight="1" x14ac:dyDescent="0.25">
      <c r="A58" s="32" t="str">
        <f t="shared" si="1"/>
        <v>Não</v>
      </c>
      <c r="B58" s="224">
        <v>50</v>
      </c>
      <c r="C58" s="217">
        <f>IF($L$1=0,0,IF(ISERROR(VLOOKUP($U$11&amp;"-"&amp;B58,'BD Seq Op'!C:H,2,FALSE)),0,VLOOKUP($U$11&amp;"-"&amp;B58,'BD Seq Op'!C:H,2,FALSE)))</f>
        <v>0</v>
      </c>
      <c r="D58" s="218">
        <f>IF($L$1=0,0,IF(ISERROR(VLOOKUP($U$11&amp;"-"&amp;B58,'BD Seq Op'!C:H,5,FALSE)),0,VLOOKUP($U$11&amp;"-"&amp;B58,'BD Seq Op'!C:H,5,FALSE)))</f>
        <v>0</v>
      </c>
      <c r="E58" s="219" t="str">
        <f t="shared" si="4"/>
        <v/>
      </c>
      <c r="F58" s="225"/>
      <c r="G58" s="226"/>
      <c r="H58" s="222" t="str">
        <f t="shared" si="2"/>
        <v/>
      </c>
      <c r="I58" s="223" t="str">
        <f t="shared" si="3"/>
        <v/>
      </c>
      <c r="J58" s="207"/>
      <c r="K58" s="208"/>
      <c r="L58" s="202"/>
      <c r="M58" s="202"/>
      <c r="N58" s="202"/>
      <c r="O58" s="202"/>
      <c r="P58" s="202"/>
      <c r="Q58" s="202"/>
      <c r="T58" s="202"/>
      <c r="U58" s="124"/>
      <c r="V58" s="124"/>
      <c r="W58" s="124"/>
      <c r="X58" s="124"/>
      <c r="Y58" s="124"/>
      <c r="Z58" s="124"/>
      <c r="AA58" s="124"/>
      <c r="AB58" s="124"/>
      <c r="AC58" s="124"/>
      <c r="AD58" s="124"/>
      <c r="AE58" s="271" t="b">
        <v>0</v>
      </c>
      <c r="AF58" s="202"/>
      <c r="AG58" s="202"/>
      <c r="AH58" s="202"/>
      <c r="AI58" s="202"/>
      <c r="AJ58" s="202"/>
      <c r="AK58" s="202"/>
      <c r="AL58" s="202"/>
      <c r="AM58" s="202"/>
      <c r="AN58" s="202"/>
    </row>
    <row r="59" spans="1:40" ht="28.5" customHeight="1" x14ac:dyDescent="0.25">
      <c r="A59" s="32" t="str">
        <f t="shared" si="1"/>
        <v>Não</v>
      </c>
      <c r="B59" s="216">
        <v>51</v>
      </c>
      <c r="C59" s="217">
        <f>IF($L$1=0,0,IF(ISERROR(VLOOKUP($U$11&amp;"-"&amp;B59,'BD Seq Op'!C:H,2,FALSE)),0,VLOOKUP($U$11&amp;"-"&amp;B59,'BD Seq Op'!C:H,2,FALSE)))</f>
        <v>0</v>
      </c>
      <c r="D59" s="218">
        <f>IF($L$1=0,0,IF(ISERROR(VLOOKUP($U$11&amp;"-"&amp;B59,'BD Seq Op'!C:H,5,FALSE)),0,VLOOKUP($U$11&amp;"-"&amp;B59,'BD Seq Op'!C:H,5,FALSE)))</f>
        <v>0</v>
      </c>
      <c r="E59" s="219" t="str">
        <f t="shared" si="4"/>
        <v/>
      </c>
      <c r="F59" s="225"/>
      <c r="G59" s="226"/>
      <c r="H59" s="222" t="str">
        <f t="shared" si="2"/>
        <v/>
      </c>
      <c r="I59" s="223" t="str">
        <f t="shared" si="3"/>
        <v/>
      </c>
      <c r="J59" s="207"/>
      <c r="K59" s="208"/>
      <c r="L59" s="202"/>
      <c r="M59" s="202"/>
      <c r="N59" s="202"/>
      <c r="O59" s="202"/>
      <c r="P59" s="202"/>
      <c r="Q59" s="202"/>
      <c r="T59" s="202"/>
      <c r="U59" s="124"/>
      <c r="V59" s="124"/>
      <c r="W59" s="124"/>
      <c r="X59" s="124"/>
      <c r="Y59" s="124"/>
      <c r="Z59" s="124"/>
      <c r="AA59" s="124"/>
      <c r="AB59" s="124"/>
      <c r="AC59" s="124"/>
      <c r="AD59" s="124"/>
      <c r="AE59" s="271" t="b">
        <v>0</v>
      </c>
      <c r="AF59" s="202"/>
      <c r="AG59" s="202"/>
      <c r="AH59" s="202"/>
      <c r="AI59" s="202"/>
      <c r="AJ59" s="202"/>
      <c r="AK59" s="202"/>
      <c r="AL59" s="202"/>
      <c r="AM59" s="202"/>
      <c r="AN59" s="202"/>
    </row>
    <row r="60" spans="1:40" ht="28.5" customHeight="1" x14ac:dyDescent="0.25">
      <c r="A60" s="32" t="str">
        <f t="shared" si="1"/>
        <v>Não</v>
      </c>
      <c r="B60" s="224">
        <v>52</v>
      </c>
      <c r="C60" s="217">
        <f>IF($L$1=0,0,IF(ISERROR(VLOOKUP($U$11&amp;"-"&amp;B60,'BD Seq Op'!C:H,2,FALSE)),0,VLOOKUP($U$11&amp;"-"&amp;B60,'BD Seq Op'!C:H,2,FALSE)))</f>
        <v>0</v>
      </c>
      <c r="D60" s="218">
        <f>IF($L$1=0,0,IF(ISERROR(VLOOKUP($U$11&amp;"-"&amp;B60,'BD Seq Op'!C:H,5,FALSE)),0,VLOOKUP($U$11&amp;"-"&amp;B60,'BD Seq Op'!C:H,5,FALSE)))</f>
        <v>0</v>
      </c>
      <c r="E60" s="219" t="str">
        <f t="shared" si="4"/>
        <v/>
      </c>
      <c r="F60" s="225"/>
      <c r="G60" s="226"/>
      <c r="H60" s="222" t="str">
        <f t="shared" si="2"/>
        <v/>
      </c>
      <c r="I60" s="223" t="str">
        <f t="shared" si="3"/>
        <v/>
      </c>
      <c r="J60" s="207"/>
      <c r="K60" s="208"/>
      <c r="L60" s="202"/>
      <c r="M60" s="202"/>
      <c r="N60" s="202"/>
      <c r="O60" s="202"/>
      <c r="P60" s="202"/>
      <c r="Q60" s="202"/>
      <c r="T60" s="202"/>
      <c r="U60" s="124"/>
      <c r="V60" s="124"/>
      <c r="W60" s="124"/>
      <c r="X60" s="124"/>
      <c r="Y60" s="124"/>
      <c r="Z60" s="124"/>
      <c r="AA60" s="124"/>
      <c r="AB60" s="124"/>
      <c r="AC60" s="124"/>
      <c r="AD60" s="124"/>
      <c r="AE60" s="271" t="b">
        <v>0</v>
      </c>
      <c r="AF60" s="202"/>
      <c r="AG60" s="202"/>
      <c r="AH60" s="202"/>
      <c r="AI60" s="202"/>
      <c r="AJ60" s="202"/>
      <c r="AK60" s="202"/>
      <c r="AL60" s="202"/>
      <c r="AM60" s="202"/>
      <c r="AN60" s="202"/>
    </row>
    <row r="61" spans="1:40" ht="28.5" customHeight="1" x14ac:dyDescent="0.25">
      <c r="A61" s="32" t="str">
        <f t="shared" si="1"/>
        <v>Não</v>
      </c>
      <c r="B61" s="216">
        <v>53</v>
      </c>
      <c r="C61" s="217">
        <f>IF($L$1=0,0,IF(ISERROR(VLOOKUP($U$11&amp;"-"&amp;B61,'BD Seq Op'!C:H,2,FALSE)),0,VLOOKUP($U$11&amp;"-"&amp;B61,'BD Seq Op'!C:H,2,FALSE)))</f>
        <v>0</v>
      </c>
      <c r="D61" s="218">
        <f>IF($L$1=0,0,IF(ISERROR(VLOOKUP($U$11&amp;"-"&amp;B61,'BD Seq Op'!C:H,5,FALSE)),0,VLOOKUP($U$11&amp;"-"&amp;B61,'BD Seq Op'!C:H,5,FALSE)))</f>
        <v>0</v>
      </c>
      <c r="E61" s="219" t="str">
        <f t="shared" si="4"/>
        <v/>
      </c>
      <c r="F61" s="225"/>
      <c r="G61" s="226"/>
      <c r="H61" s="222" t="str">
        <f t="shared" si="2"/>
        <v/>
      </c>
      <c r="I61" s="223" t="str">
        <f t="shared" si="3"/>
        <v/>
      </c>
      <c r="J61" s="207"/>
      <c r="K61" s="208"/>
      <c r="L61" s="202"/>
      <c r="M61" s="202"/>
      <c r="N61" s="202"/>
      <c r="O61" s="202"/>
      <c r="P61" s="202"/>
      <c r="Q61" s="202"/>
      <c r="T61" s="202"/>
      <c r="U61" s="124"/>
      <c r="V61" s="124"/>
      <c r="W61" s="124"/>
      <c r="X61" s="124"/>
      <c r="Y61" s="124"/>
      <c r="Z61" s="124"/>
      <c r="AA61" s="124"/>
      <c r="AB61" s="124"/>
      <c r="AC61" s="124"/>
      <c r="AD61" s="124"/>
      <c r="AE61" s="271" t="b">
        <v>0</v>
      </c>
      <c r="AF61" s="202"/>
      <c r="AG61" s="202"/>
      <c r="AH61" s="202"/>
      <c r="AI61" s="202"/>
      <c r="AJ61" s="202"/>
      <c r="AK61" s="202"/>
      <c r="AL61" s="202"/>
      <c r="AM61" s="202"/>
      <c r="AN61" s="202"/>
    </row>
    <row r="62" spans="1:40" ht="28.5" customHeight="1" x14ac:dyDescent="0.25">
      <c r="A62" s="32" t="str">
        <f t="shared" si="1"/>
        <v>Não</v>
      </c>
      <c r="B62" s="224">
        <v>54</v>
      </c>
      <c r="C62" s="217">
        <f>IF($L$1=0,0,IF(ISERROR(VLOOKUP($U$11&amp;"-"&amp;B62,'BD Seq Op'!C:H,2,FALSE)),0,VLOOKUP($U$11&amp;"-"&amp;B62,'BD Seq Op'!C:H,2,FALSE)))</f>
        <v>0</v>
      </c>
      <c r="D62" s="218">
        <f>IF($L$1=0,0,IF(ISERROR(VLOOKUP($U$11&amp;"-"&amp;B62,'BD Seq Op'!C:H,5,FALSE)),0,VLOOKUP($U$11&amp;"-"&amp;B62,'BD Seq Op'!C:H,5,FALSE)))</f>
        <v>0</v>
      </c>
      <c r="E62" s="219" t="str">
        <f t="shared" si="4"/>
        <v/>
      </c>
      <c r="F62" s="225"/>
      <c r="G62" s="226"/>
      <c r="H62" s="222" t="str">
        <f t="shared" si="2"/>
        <v/>
      </c>
      <c r="I62" s="223" t="str">
        <f t="shared" si="3"/>
        <v/>
      </c>
      <c r="J62" s="207"/>
      <c r="K62" s="208"/>
      <c r="L62" s="202"/>
      <c r="M62" s="202"/>
      <c r="N62" s="202"/>
      <c r="O62" s="202"/>
      <c r="P62" s="202"/>
      <c r="Q62" s="202"/>
      <c r="T62" s="202"/>
      <c r="U62" s="124"/>
      <c r="V62" s="124"/>
      <c r="W62" s="124"/>
      <c r="X62" s="124"/>
      <c r="Y62" s="124"/>
      <c r="Z62" s="124"/>
      <c r="AA62" s="124"/>
      <c r="AB62" s="124"/>
      <c r="AC62" s="124"/>
      <c r="AD62" s="124"/>
      <c r="AE62" s="271" t="b">
        <v>0</v>
      </c>
      <c r="AF62" s="202"/>
      <c r="AG62" s="202"/>
      <c r="AH62" s="202"/>
      <c r="AI62" s="202"/>
      <c r="AJ62" s="202"/>
      <c r="AK62" s="202"/>
      <c r="AL62" s="202"/>
      <c r="AM62" s="202"/>
      <c r="AN62" s="202"/>
    </row>
    <row r="63" spans="1:40" ht="28.5" customHeight="1" x14ac:dyDescent="0.25">
      <c r="A63" s="32" t="str">
        <f t="shared" si="1"/>
        <v>Não</v>
      </c>
      <c r="B63" s="216">
        <v>55</v>
      </c>
      <c r="C63" s="217">
        <f>IF($L$1=0,0,IF(ISERROR(VLOOKUP($U$11&amp;"-"&amp;B63,'BD Seq Op'!C:H,2,FALSE)),0,VLOOKUP($U$11&amp;"-"&amp;B63,'BD Seq Op'!C:H,2,FALSE)))</f>
        <v>0</v>
      </c>
      <c r="D63" s="218">
        <f>IF($L$1=0,0,IF(ISERROR(VLOOKUP($U$11&amp;"-"&amp;B63,'BD Seq Op'!C:H,5,FALSE)),0,VLOOKUP($U$11&amp;"-"&amp;B63,'BD Seq Op'!C:H,5,FALSE)))</f>
        <v>0</v>
      </c>
      <c r="E63" s="219" t="str">
        <f t="shared" si="4"/>
        <v/>
      </c>
      <c r="F63" s="225"/>
      <c r="G63" s="226"/>
      <c r="H63" s="222" t="str">
        <f t="shared" si="2"/>
        <v/>
      </c>
      <c r="I63" s="223" t="str">
        <f t="shared" si="3"/>
        <v/>
      </c>
      <c r="J63" s="207"/>
      <c r="K63" s="208"/>
      <c r="L63" s="202"/>
      <c r="M63" s="202"/>
      <c r="N63" s="202"/>
      <c r="O63" s="202"/>
      <c r="P63" s="202"/>
      <c r="Q63" s="202"/>
      <c r="T63" s="202"/>
      <c r="U63" s="124"/>
      <c r="V63" s="124"/>
      <c r="W63" s="124"/>
      <c r="X63" s="124"/>
      <c r="Y63" s="124"/>
      <c r="Z63" s="124"/>
      <c r="AA63" s="124"/>
      <c r="AB63" s="124"/>
      <c r="AC63" s="124"/>
      <c r="AD63" s="124"/>
      <c r="AE63" s="271" t="b">
        <v>0</v>
      </c>
      <c r="AF63" s="202"/>
      <c r="AG63" s="202"/>
      <c r="AH63" s="202"/>
      <c r="AI63" s="202"/>
      <c r="AJ63" s="202"/>
      <c r="AK63" s="202"/>
      <c r="AL63" s="202"/>
      <c r="AM63" s="202"/>
      <c r="AN63" s="202"/>
    </row>
    <row r="64" spans="1:40" ht="28.5" customHeight="1" x14ac:dyDescent="0.25">
      <c r="A64" s="32" t="str">
        <f t="shared" si="1"/>
        <v>Não</v>
      </c>
      <c r="B64" s="224">
        <v>56</v>
      </c>
      <c r="C64" s="217">
        <f>IF($L$1=0,0,IF(ISERROR(VLOOKUP($U$11&amp;"-"&amp;B64,'BD Seq Op'!C:H,2,FALSE)),0,VLOOKUP($U$11&amp;"-"&amp;B64,'BD Seq Op'!C:H,2,FALSE)))</f>
        <v>0</v>
      </c>
      <c r="D64" s="218">
        <f>IF($L$1=0,0,IF(ISERROR(VLOOKUP($U$11&amp;"-"&amp;B64,'BD Seq Op'!C:H,5,FALSE)),0,VLOOKUP($U$11&amp;"-"&amp;B64,'BD Seq Op'!C:H,5,FALSE)))</f>
        <v>0</v>
      </c>
      <c r="E64" s="219" t="str">
        <f t="shared" si="4"/>
        <v/>
      </c>
      <c r="F64" s="225"/>
      <c r="G64" s="226"/>
      <c r="H64" s="222" t="str">
        <f t="shared" si="2"/>
        <v/>
      </c>
      <c r="I64" s="223" t="str">
        <f t="shared" si="3"/>
        <v/>
      </c>
      <c r="J64" s="207"/>
      <c r="K64" s="208"/>
      <c r="L64" s="202"/>
      <c r="M64" s="202"/>
      <c r="N64" s="202"/>
      <c r="O64" s="202"/>
      <c r="P64" s="202"/>
      <c r="Q64" s="202"/>
      <c r="T64" s="202"/>
      <c r="U64" s="124"/>
      <c r="V64" s="124"/>
      <c r="W64" s="124"/>
      <c r="X64" s="124"/>
      <c r="Y64" s="124"/>
      <c r="Z64" s="124"/>
      <c r="AA64" s="124"/>
      <c r="AB64" s="124"/>
      <c r="AC64" s="124"/>
      <c r="AD64" s="124"/>
      <c r="AE64" s="271" t="b">
        <v>0</v>
      </c>
      <c r="AF64" s="202"/>
      <c r="AG64" s="202"/>
      <c r="AH64" s="202"/>
      <c r="AI64" s="202"/>
      <c r="AJ64" s="202"/>
      <c r="AK64" s="202"/>
      <c r="AL64" s="202"/>
      <c r="AM64" s="202"/>
      <c r="AN64" s="202"/>
    </row>
    <row r="65" spans="1:40" ht="28.5" customHeight="1" x14ac:dyDescent="0.25">
      <c r="A65" s="32" t="str">
        <f t="shared" si="1"/>
        <v>Não</v>
      </c>
      <c r="B65" s="216">
        <v>57</v>
      </c>
      <c r="C65" s="217">
        <f>IF($L$1=0,0,IF(ISERROR(VLOOKUP($U$11&amp;"-"&amp;B65,'BD Seq Op'!C:H,2,FALSE)),0,VLOOKUP($U$11&amp;"-"&amp;B65,'BD Seq Op'!C:H,2,FALSE)))</f>
        <v>0</v>
      </c>
      <c r="D65" s="218">
        <f>IF($L$1=0,0,IF(ISERROR(VLOOKUP($U$11&amp;"-"&amp;B65,'BD Seq Op'!C:H,5,FALSE)),0,VLOOKUP($U$11&amp;"-"&amp;B65,'BD Seq Op'!C:H,5,FALSE)))</f>
        <v>0</v>
      </c>
      <c r="E65" s="219" t="str">
        <f t="shared" si="4"/>
        <v/>
      </c>
      <c r="F65" s="225"/>
      <c r="G65" s="226"/>
      <c r="H65" s="222" t="str">
        <f t="shared" si="2"/>
        <v/>
      </c>
      <c r="I65" s="223" t="str">
        <f t="shared" si="3"/>
        <v/>
      </c>
      <c r="J65" s="207"/>
      <c r="K65" s="208"/>
      <c r="L65" s="202"/>
      <c r="M65" s="202"/>
      <c r="N65" s="202"/>
      <c r="O65" s="202"/>
      <c r="P65" s="202"/>
      <c r="Q65" s="202"/>
      <c r="T65" s="202"/>
      <c r="U65" s="124"/>
      <c r="V65" s="124"/>
      <c r="W65" s="124"/>
      <c r="X65" s="124"/>
      <c r="Y65" s="124"/>
      <c r="Z65" s="124"/>
      <c r="AA65" s="124"/>
      <c r="AB65" s="124"/>
      <c r="AC65" s="124"/>
      <c r="AD65" s="124"/>
      <c r="AE65" s="271" t="b">
        <v>0</v>
      </c>
      <c r="AF65" s="202"/>
      <c r="AG65" s="202"/>
      <c r="AH65" s="202"/>
      <c r="AI65" s="202"/>
      <c r="AJ65" s="202"/>
      <c r="AK65" s="202"/>
      <c r="AL65" s="202"/>
      <c r="AM65" s="202"/>
      <c r="AN65" s="202"/>
    </row>
    <row r="66" spans="1:40" ht="28.5" customHeight="1" x14ac:dyDescent="0.25">
      <c r="A66" s="32" t="str">
        <f t="shared" si="1"/>
        <v>Não</v>
      </c>
      <c r="B66" s="224">
        <v>58</v>
      </c>
      <c r="C66" s="217">
        <f>IF($L$1=0,0,IF(ISERROR(VLOOKUP($U$11&amp;"-"&amp;B66,'BD Seq Op'!C:H,2,FALSE)),0,VLOOKUP($U$11&amp;"-"&amp;B66,'BD Seq Op'!C:H,2,FALSE)))</f>
        <v>0</v>
      </c>
      <c r="D66" s="218">
        <f>IF($L$1=0,0,IF(ISERROR(VLOOKUP($U$11&amp;"-"&amp;B66,'BD Seq Op'!C:H,5,FALSE)),0,VLOOKUP($U$11&amp;"-"&amp;B66,'BD Seq Op'!C:H,5,FALSE)))</f>
        <v>0</v>
      </c>
      <c r="E66" s="219" t="str">
        <f t="shared" si="4"/>
        <v/>
      </c>
      <c r="F66" s="225"/>
      <c r="G66" s="226"/>
      <c r="H66" s="222" t="str">
        <f t="shared" si="2"/>
        <v/>
      </c>
      <c r="I66" s="223" t="str">
        <f t="shared" si="3"/>
        <v/>
      </c>
      <c r="J66" s="207"/>
      <c r="K66" s="208"/>
      <c r="L66" s="202"/>
      <c r="M66" s="202"/>
      <c r="N66" s="202"/>
      <c r="O66" s="202"/>
      <c r="P66" s="202"/>
      <c r="Q66" s="202"/>
      <c r="T66" s="202"/>
      <c r="U66" s="124"/>
      <c r="V66" s="124"/>
      <c r="W66" s="124"/>
      <c r="X66" s="124"/>
      <c r="Y66" s="124"/>
      <c r="Z66" s="124"/>
      <c r="AA66" s="124"/>
      <c r="AB66" s="124"/>
      <c r="AC66" s="124"/>
      <c r="AD66" s="124"/>
      <c r="AE66" s="271" t="b">
        <v>0</v>
      </c>
      <c r="AF66" s="202"/>
      <c r="AG66" s="202"/>
      <c r="AH66" s="202"/>
      <c r="AI66" s="202"/>
      <c r="AJ66" s="202"/>
      <c r="AK66" s="202"/>
      <c r="AL66" s="202"/>
      <c r="AM66" s="202"/>
      <c r="AN66" s="202"/>
    </row>
    <row r="67" spans="1:40" ht="28.5" customHeight="1" x14ac:dyDescent="0.25">
      <c r="A67" s="32" t="str">
        <f t="shared" si="1"/>
        <v>Não</v>
      </c>
      <c r="B67" s="216">
        <v>59</v>
      </c>
      <c r="C67" s="217">
        <f>IF($L$1=0,0,IF(ISERROR(VLOOKUP($U$11&amp;"-"&amp;B67,'BD Seq Op'!C:H,2,FALSE)),0,VLOOKUP($U$11&amp;"-"&amp;B67,'BD Seq Op'!C:H,2,FALSE)))</f>
        <v>0</v>
      </c>
      <c r="D67" s="218">
        <f>IF($L$1=0,0,IF(ISERROR(VLOOKUP($U$11&amp;"-"&amp;B67,'BD Seq Op'!C:H,5,FALSE)),0,VLOOKUP($U$11&amp;"-"&amp;B67,'BD Seq Op'!C:H,5,FALSE)))</f>
        <v>0</v>
      </c>
      <c r="E67" s="219" t="str">
        <f t="shared" si="4"/>
        <v/>
      </c>
      <c r="F67" s="225"/>
      <c r="G67" s="226"/>
      <c r="H67" s="222" t="str">
        <f t="shared" si="2"/>
        <v/>
      </c>
      <c r="I67" s="223" t="str">
        <f t="shared" si="3"/>
        <v/>
      </c>
      <c r="J67" s="207"/>
      <c r="K67" s="208"/>
      <c r="L67" s="202"/>
      <c r="M67" s="202"/>
      <c r="N67" s="202"/>
      <c r="O67" s="202"/>
      <c r="P67" s="202"/>
      <c r="Q67" s="202"/>
      <c r="T67" s="202"/>
      <c r="U67" s="124"/>
      <c r="V67" s="124"/>
      <c r="W67" s="124"/>
      <c r="X67" s="124"/>
      <c r="Y67" s="124"/>
      <c r="Z67" s="124"/>
      <c r="AA67" s="124"/>
      <c r="AB67" s="124"/>
      <c r="AC67" s="124"/>
      <c r="AD67" s="124"/>
      <c r="AE67" s="271" t="b">
        <v>0</v>
      </c>
      <c r="AF67" s="202"/>
      <c r="AG67" s="202"/>
      <c r="AH67" s="202"/>
      <c r="AI67" s="202"/>
      <c r="AJ67" s="202"/>
      <c r="AK67" s="202"/>
      <c r="AL67" s="202"/>
      <c r="AM67" s="202"/>
      <c r="AN67" s="202"/>
    </row>
    <row r="68" spans="1:40" ht="28.5" customHeight="1" x14ac:dyDescent="0.25">
      <c r="A68" s="32" t="str">
        <f t="shared" si="1"/>
        <v>Não</v>
      </c>
      <c r="B68" s="224">
        <v>60</v>
      </c>
      <c r="C68" s="217">
        <f>IF($L$1=0,0,IF(ISERROR(VLOOKUP($U$11&amp;"-"&amp;B68,'BD Seq Op'!C:H,2,FALSE)),0,VLOOKUP($U$11&amp;"-"&amp;B68,'BD Seq Op'!C:H,2,FALSE)))</f>
        <v>0</v>
      </c>
      <c r="D68" s="218">
        <f>IF($L$1=0,0,IF(ISERROR(VLOOKUP($U$11&amp;"-"&amp;B68,'BD Seq Op'!C:H,5,FALSE)),0,VLOOKUP($U$11&amp;"-"&amp;B68,'BD Seq Op'!C:H,5,FALSE)))</f>
        <v>0</v>
      </c>
      <c r="E68" s="219" t="str">
        <f t="shared" si="4"/>
        <v/>
      </c>
      <c r="F68" s="225"/>
      <c r="G68" s="226"/>
      <c r="H68" s="222" t="str">
        <f t="shared" si="2"/>
        <v/>
      </c>
      <c r="I68" s="223" t="str">
        <f t="shared" si="3"/>
        <v/>
      </c>
      <c r="J68" s="207"/>
      <c r="K68" s="208"/>
      <c r="L68" s="202"/>
      <c r="M68" s="202"/>
      <c r="N68" s="202"/>
      <c r="O68" s="202"/>
      <c r="P68" s="202"/>
      <c r="Q68" s="202"/>
      <c r="T68" s="202"/>
      <c r="U68" s="124"/>
      <c r="V68" s="124"/>
      <c r="W68" s="124"/>
      <c r="X68" s="124"/>
      <c r="Y68" s="124"/>
      <c r="Z68" s="124"/>
      <c r="AA68" s="124"/>
      <c r="AB68" s="124"/>
      <c r="AC68" s="124"/>
      <c r="AD68" s="124"/>
      <c r="AE68" s="271" t="b">
        <v>0</v>
      </c>
      <c r="AF68" s="202"/>
      <c r="AG68" s="202"/>
      <c r="AH68" s="202"/>
      <c r="AI68" s="202"/>
      <c r="AJ68" s="202"/>
      <c r="AK68" s="202"/>
      <c r="AL68" s="202"/>
      <c r="AM68" s="202"/>
      <c r="AN68" s="202"/>
    </row>
    <row r="69" spans="1:40" ht="28.5" customHeight="1" x14ac:dyDescent="0.25">
      <c r="A69" s="32" t="str">
        <f t="shared" si="1"/>
        <v>Não</v>
      </c>
      <c r="B69" s="216">
        <v>61</v>
      </c>
      <c r="C69" s="217">
        <f>IF($L$1=0,0,IF(ISERROR(VLOOKUP($U$11&amp;"-"&amp;B69,'BD Seq Op'!C:H,2,FALSE)),0,VLOOKUP($U$11&amp;"-"&amp;B69,'BD Seq Op'!C:H,2,FALSE)))</f>
        <v>0</v>
      </c>
      <c r="D69" s="218">
        <f>IF($L$1=0,0,IF(ISERROR(VLOOKUP($U$11&amp;"-"&amp;B69,'BD Seq Op'!C:H,5,FALSE)),0,VLOOKUP($U$11&amp;"-"&amp;B69,'BD Seq Op'!C:H,5,FALSE)))</f>
        <v>0</v>
      </c>
      <c r="E69" s="219" t="str">
        <f t="shared" si="4"/>
        <v/>
      </c>
      <c r="F69" s="225"/>
      <c r="G69" s="226"/>
      <c r="H69" s="222" t="str">
        <f t="shared" si="2"/>
        <v/>
      </c>
      <c r="I69" s="223" t="str">
        <f t="shared" si="3"/>
        <v/>
      </c>
      <c r="J69" s="207"/>
      <c r="K69" s="208"/>
      <c r="L69" s="202"/>
      <c r="M69" s="202"/>
      <c r="N69" s="202"/>
      <c r="O69" s="202"/>
      <c r="P69" s="202"/>
      <c r="Q69" s="202"/>
      <c r="T69" s="202"/>
      <c r="U69" s="124"/>
      <c r="V69" s="124"/>
      <c r="W69" s="124"/>
      <c r="X69" s="124"/>
      <c r="Y69" s="124"/>
      <c r="Z69" s="124"/>
      <c r="AA69" s="124"/>
      <c r="AB69" s="124"/>
      <c r="AC69" s="124"/>
      <c r="AD69" s="124"/>
      <c r="AE69" s="271" t="b">
        <v>0</v>
      </c>
      <c r="AF69" s="202"/>
      <c r="AG69" s="202"/>
      <c r="AH69" s="202"/>
      <c r="AI69" s="202"/>
      <c r="AJ69" s="202"/>
      <c r="AK69" s="202"/>
      <c r="AL69" s="202"/>
      <c r="AM69" s="202"/>
      <c r="AN69" s="202"/>
    </row>
    <row r="70" spans="1:40" ht="28.5" customHeight="1" x14ac:dyDescent="0.25">
      <c r="A70" s="32" t="str">
        <f t="shared" si="1"/>
        <v>Não</v>
      </c>
      <c r="B70" s="224">
        <v>62</v>
      </c>
      <c r="C70" s="217">
        <f>IF($L$1=0,0,IF(ISERROR(VLOOKUP($U$11&amp;"-"&amp;B70,'BD Seq Op'!C:H,2,FALSE)),0,VLOOKUP($U$11&amp;"-"&amp;B70,'BD Seq Op'!C:H,2,FALSE)))</f>
        <v>0</v>
      </c>
      <c r="D70" s="218">
        <f>IF($L$1=0,0,IF(ISERROR(VLOOKUP($U$11&amp;"-"&amp;B70,'BD Seq Op'!C:H,5,FALSE)),0,VLOOKUP($U$11&amp;"-"&amp;B70,'BD Seq Op'!C:H,5,FALSE)))</f>
        <v>0</v>
      </c>
      <c r="E70" s="219" t="str">
        <f t="shared" si="4"/>
        <v/>
      </c>
      <c r="F70" s="225"/>
      <c r="G70" s="226"/>
      <c r="H70" s="222" t="str">
        <f t="shared" si="2"/>
        <v/>
      </c>
      <c r="I70" s="223" t="str">
        <f t="shared" si="3"/>
        <v/>
      </c>
      <c r="J70" s="207"/>
      <c r="K70" s="208"/>
      <c r="L70" s="202"/>
      <c r="M70" s="202"/>
      <c r="N70" s="202"/>
      <c r="O70" s="202"/>
      <c r="P70" s="202"/>
      <c r="Q70" s="202"/>
      <c r="T70" s="202"/>
      <c r="U70" s="124"/>
      <c r="V70" s="124"/>
      <c r="W70" s="124"/>
      <c r="X70" s="124"/>
      <c r="Y70" s="124"/>
      <c r="Z70" s="124"/>
      <c r="AA70" s="124"/>
      <c r="AB70" s="124"/>
      <c r="AC70" s="124"/>
      <c r="AD70" s="124"/>
      <c r="AE70" s="271" t="b">
        <v>0</v>
      </c>
      <c r="AF70" s="202"/>
      <c r="AG70" s="202"/>
      <c r="AH70" s="202"/>
      <c r="AI70" s="202"/>
      <c r="AJ70" s="202"/>
      <c r="AK70" s="202"/>
      <c r="AL70" s="202"/>
      <c r="AM70" s="202"/>
      <c r="AN70" s="202"/>
    </row>
    <row r="71" spans="1:40" ht="28.5" customHeight="1" x14ac:dyDescent="0.25">
      <c r="A71" s="32" t="str">
        <f t="shared" si="1"/>
        <v>Não</v>
      </c>
      <c r="B71" s="216">
        <v>63</v>
      </c>
      <c r="C71" s="217">
        <f>IF($L$1=0,0,IF(ISERROR(VLOOKUP($U$11&amp;"-"&amp;B71,'BD Seq Op'!C:H,2,FALSE)),0,VLOOKUP($U$11&amp;"-"&amp;B71,'BD Seq Op'!C:H,2,FALSE)))</f>
        <v>0</v>
      </c>
      <c r="D71" s="218">
        <f>IF($L$1=0,0,IF(ISERROR(VLOOKUP($U$11&amp;"-"&amp;B71,'BD Seq Op'!C:H,5,FALSE)),0,VLOOKUP($U$11&amp;"-"&amp;B71,'BD Seq Op'!C:H,5,FALSE)))</f>
        <v>0</v>
      </c>
      <c r="E71" s="219" t="str">
        <f t="shared" si="4"/>
        <v/>
      </c>
      <c r="F71" s="225"/>
      <c r="G71" s="226"/>
      <c r="H71" s="222" t="str">
        <f t="shared" si="2"/>
        <v/>
      </c>
      <c r="I71" s="223" t="str">
        <f t="shared" si="3"/>
        <v/>
      </c>
      <c r="J71" s="207"/>
      <c r="K71" s="208"/>
      <c r="L71" s="202"/>
      <c r="M71" s="202"/>
      <c r="N71" s="202"/>
      <c r="O71" s="202"/>
      <c r="P71" s="202"/>
      <c r="Q71" s="202"/>
      <c r="T71" s="202"/>
      <c r="U71" s="124"/>
      <c r="V71" s="124"/>
      <c r="W71" s="124"/>
      <c r="X71" s="124"/>
      <c r="Y71" s="124"/>
      <c r="Z71" s="124"/>
      <c r="AA71" s="124"/>
      <c r="AB71" s="124"/>
      <c r="AC71" s="124"/>
      <c r="AD71" s="124"/>
      <c r="AE71" s="271" t="b">
        <v>0</v>
      </c>
      <c r="AF71" s="202"/>
      <c r="AG71" s="202"/>
      <c r="AH71" s="202"/>
      <c r="AI71" s="202"/>
      <c r="AJ71" s="202"/>
      <c r="AK71" s="202"/>
      <c r="AL71" s="202"/>
      <c r="AM71" s="202"/>
      <c r="AN71" s="202"/>
    </row>
    <row r="72" spans="1:40" ht="28.5" customHeight="1" x14ac:dyDescent="0.25">
      <c r="A72" s="32" t="str">
        <f t="shared" si="1"/>
        <v>Não</v>
      </c>
      <c r="B72" s="224">
        <v>64</v>
      </c>
      <c r="C72" s="217">
        <f>IF($L$1=0,0,IF(ISERROR(VLOOKUP($U$11&amp;"-"&amp;B72,'BD Seq Op'!C:H,2,FALSE)),0,VLOOKUP($U$11&amp;"-"&amp;B72,'BD Seq Op'!C:H,2,FALSE)))</f>
        <v>0</v>
      </c>
      <c r="D72" s="218">
        <f>IF($L$1=0,0,IF(ISERROR(VLOOKUP($U$11&amp;"-"&amp;B72,'BD Seq Op'!C:H,5,FALSE)),0,VLOOKUP($U$11&amp;"-"&amp;B72,'BD Seq Op'!C:H,5,FALSE)))</f>
        <v>0</v>
      </c>
      <c r="E72" s="219" t="str">
        <f t="shared" si="4"/>
        <v/>
      </c>
      <c r="F72" s="225"/>
      <c r="G72" s="226"/>
      <c r="H72" s="222" t="str">
        <f t="shared" si="2"/>
        <v/>
      </c>
      <c r="I72" s="223" t="str">
        <f t="shared" si="3"/>
        <v/>
      </c>
      <c r="J72" s="207"/>
      <c r="K72" s="208"/>
      <c r="L72" s="202"/>
      <c r="M72" s="202"/>
      <c r="N72" s="202"/>
      <c r="O72" s="202"/>
      <c r="P72" s="202"/>
      <c r="Q72" s="202"/>
      <c r="T72" s="202"/>
      <c r="U72" s="124"/>
      <c r="V72" s="124"/>
      <c r="W72" s="124"/>
      <c r="X72" s="124"/>
      <c r="Y72" s="124"/>
      <c r="Z72" s="124"/>
      <c r="AA72" s="124"/>
      <c r="AB72" s="124"/>
      <c r="AC72" s="124"/>
      <c r="AD72" s="124"/>
      <c r="AE72" s="271" t="b">
        <v>0</v>
      </c>
      <c r="AF72" s="202"/>
      <c r="AG72" s="202"/>
      <c r="AH72" s="202"/>
      <c r="AI72" s="202"/>
      <c r="AJ72" s="202"/>
      <c r="AK72" s="202"/>
      <c r="AL72" s="202"/>
      <c r="AM72" s="202"/>
      <c r="AN72" s="202"/>
    </row>
    <row r="73" spans="1:40" ht="28.5" customHeight="1" x14ac:dyDescent="0.25">
      <c r="A73" s="32" t="str">
        <f t="shared" si="1"/>
        <v>Não</v>
      </c>
      <c r="B73" s="216">
        <v>65</v>
      </c>
      <c r="C73" s="217">
        <f>IF($L$1=0,0,IF(ISERROR(VLOOKUP($U$11&amp;"-"&amp;B73,'BD Seq Op'!C:H,2,FALSE)),0,VLOOKUP($U$11&amp;"-"&amp;B73,'BD Seq Op'!C:H,2,FALSE)))</f>
        <v>0</v>
      </c>
      <c r="D73" s="218">
        <f>IF($L$1=0,0,IF(ISERROR(VLOOKUP($U$11&amp;"-"&amp;B73,'BD Seq Op'!C:H,5,FALSE)),0,VLOOKUP($U$11&amp;"-"&amp;B73,'BD Seq Op'!C:H,5,FALSE)))</f>
        <v>0</v>
      </c>
      <c r="E73" s="219" t="str">
        <f t="shared" ref="E73:E104" si="5">IF(C73=0,"",IF($U$1=TRUE,(60*$L$5)/D73,60/D73))</f>
        <v/>
      </c>
      <c r="F73" s="225"/>
      <c r="G73" s="226"/>
      <c r="H73" s="222" t="str">
        <f t="shared" si="2"/>
        <v/>
      </c>
      <c r="I73" s="223" t="str">
        <f t="shared" si="3"/>
        <v/>
      </c>
      <c r="J73" s="207"/>
      <c r="K73" s="208"/>
      <c r="L73" s="202"/>
      <c r="M73" s="202"/>
      <c r="N73" s="202"/>
      <c r="O73" s="202"/>
      <c r="P73" s="202"/>
      <c r="Q73" s="202"/>
      <c r="T73" s="202"/>
      <c r="U73" s="124"/>
      <c r="V73" s="124"/>
      <c r="W73" s="124"/>
      <c r="X73" s="124"/>
      <c r="Y73" s="124"/>
      <c r="Z73" s="124"/>
      <c r="AA73" s="124"/>
      <c r="AB73" s="124"/>
      <c r="AC73" s="124"/>
      <c r="AD73" s="124"/>
      <c r="AE73" s="271" t="b">
        <v>0</v>
      </c>
      <c r="AF73" s="202"/>
      <c r="AG73" s="202"/>
      <c r="AH73" s="202"/>
      <c r="AI73" s="202"/>
      <c r="AJ73" s="202"/>
      <c r="AK73" s="202"/>
      <c r="AL73" s="202"/>
      <c r="AM73" s="202"/>
      <c r="AN73" s="202"/>
    </row>
    <row r="74" spans="1:40" ht="28.5" customHeight="1" x14ac:dyDescent="0.25">
      <c r="A74" s="32" t="str">
        <f t="shared" ref="A74:A128" si="6">IF(C74=0,"Não","Sim")</f>
        <v>Não</v>
      </c>
      <c r="B74" s="224">
        <v>66</v>
      </c>
      <c r="C74" s="217">
        <f>IF($L$1=0,0,IF(ISERROR(VLOOKUP($U$11&amp;"-"&amp;B74,'BD Seq Op'!C:H,2,FALSE)),0,VLOOKUP($U$11&amp;"-"&amp;B74,'BD Seq Op'!C:H,2,FALSE)))</f>
        <v>0</v>
      </c>
      <c r="D74" s="218">
        <f>IF($L$1=0,0,IF(ISERROR(VLOOKUP($U$11&amp;"-"&amp;B74,'BD Seq Op'!C:H,5,FALSE)),0,VLOOKUP($U$11&amp;"-"&amp;B74,'BD Seq Op'!C:H,5,FALSE)))</f>
        <v>0</v>
      </c>
      <c r="E74" s="219" t="str">
        <f t="shared" si="5"/>
        <v/>
      </c>
      <c r="F74" s="225"/>
      <c r="G74" s="226"/>
      <c r="H74" s="222" t="str">
        <f t="shared" ref="H74:H128" si="7">IF(C74=0,"",IF($U$1=TRUE,$P$5,IF($L$2=0,$V$15,$L$2)))</f>
        <v/>
      </c>
      <c r="I74" s="223" t="str">
        <f t="shared" ref="I74:I128" si="8">IF(C74=0,"",IF(AE74=TRUE,0,D74*H74))</f>
        <v/>
      </c>
      <c r="J74" s="207"/>
      <c r="K74" s="208"/>
      <c r="L74" s="202"/>
      <c r="M74" s="202"/>
      <c r="N74" s="202"/>
      <c r="O74" s="202"/>
      <c r="P74" s="202"/>
      <c r="Q74" s="202"/>
      <c r="T74" s="202"/>
      <c r="U74" s="124"/>
      <c r="V74" s="124"/>
      <c r="W74" s="124"/>
      <c r="X74" s="124"/>
      <c r="Y74" s="124"/>
      <c r="Z74" s="124"/>
      <c r="AA74" s="124"/>
      <c r="AB74" s="124"/>
      <c r="AC74" s="124"/>
      <c r="AD74" s="124"/>
      <c r="AE74" s="271" t="b">
        <v>0</v>
      </c>
      <c r="AF74" s="202"/>
      <c r="AG74" s="202"/>
      <c r="AH74" s="202"/>
      <c r="AI74" s="202"/>
      <c r="AJ74" s="202"/>
      <c r="AK74" s="202"/>
      <c r="AL74" s="202"/>
      <c r="AM74" s="202"/>
      <c r="AN74" s="202"/>
    </row>
    <row r="75" spans="1:40" ht="28.5" customHeight="1" x14ac:dyDescent="0.25">
      <c r="A75" s="32" t="str">
        <f t="shared" si="6"/>
        <v>Não</v>
      </c>
      <c r="B75" s="216">
        <v>67</v>
      </c>
      <c r="C75" s="217">
        <f>IF($L$1=0,0,IF(ISERROR(VLOOKUP($U$11&amp;"-"&amp;B75,'BD Seq Op'!C:H,2,FALSE)),0,VLOOKUP($U$11&amp;"-"&amp;B75,'BD Seq Op'!C:H,2,FALSE)))</f>
        <v>0</v>
      </c>
      <c r="D75" s="218">
        <f>IF($L$1=0,0,IF(ISERROR(VLOOKUP($U$11&amp;"-"&amp;B75,'BD Seq Op'!C:H,5,FALSE)),0,VLOOKUP($U$11&amp;"-"&amp;B75,'BD Seq Op'!C:H,5,FALSE)))</f>
        <v>0</v>
      </c>
      <c r="E75" s="219" t="str">
        <f t="shared" si="5"/>
        <v/>
      </c>
      <c r="F75" s="225"/>
      <c r="G75" s="226"/>
      <c r="H75" s="222" t="str">
        <f t="shared" si="7"/>
        <v/>
      </c>
      <c r="I75" s="223" t="str">
        <f t="shared" si="8"/>
        <v/>
      </c>
      <c r="J75" s="207"/>
      <c r="K75" s="208"/>
      <c r="L75" s="202"/>
      <c r="M75" s="202"/>
      <c r="N75" s="202"/>
      <c r="O75" s="202"/>
      <c r="P75" s="202"/>
      <c r="Q75" s="202"/>
      <c r="T75" s="202"/>
      <c r="U75" s="124"/>
      <c r="V75" s="124"/>
      <c r="W75" s="124"/>
      <c r="X75" s="124"/>
      <c r="Y75" s="124"/>
      <c r="Z75" s="124"/>
      <c r="AA75" s="124"/>
      <c r="AB75" s="124"/>
      <c r="AC75" s="124"/>
      <c r="AD75" s="124"/>
      <c r="AE75" s="271" t="b">
        <v>0</v>
      </c>
      <c r="AF75" s="202"/>
      <c r="AG75" s="202"/>
      <c r="AH75" s="202"/>
      <c r="AI75" s="202"/>
      <c r="AJ75" s="202"/>
      <c r="AK75" s="202"/>
      <c r="AL75" s="202"/>
      <c r="AM75" s="202"/>
      <c r="AN75" s="202"/>
    </row>
    <row r="76" spans="1:40" ht="28.5" customHeight="1" x14ac:dyDescent="0.25">
      <c r="A76" s="32" t="str">
        <f t="shared" si="6"/>
        <v>Não</v>
      </c>
      <c r="B76" s="224">
        <v>68</v>
      </c>
      <c r="C76" s="217">
        <f>IF($L$1=0,0,IF(ISERROR(VLOOKUP($U$11&amp;"-"&amp;B76,'BD Seq Op'!C:H,2,FALSE)),0,VLOOKUP($U$11&amp;"-"&amp;B76,'BD Seq Op'!C:H,2,FALSE)))</f>
        <v>0</v>
      </c>
      <c r="D76" s="218">
        <f>IF($L$1=0,0,IF(ISERROR(VLOOKUP($U$11&amp;"-"&amp;B76,'BD Seq Op'!C:H,5,FALSE)),0,VLOOKUP($U$11&amp;"-"&amp;B76,'BD Seq Op'!C:H,5,FALSE)))</f>
        <v>0</v>
      </c>
      <c r="E76" s="219" t="str">
        <f t="shared" si="5"/>
        <v/>
      </c>
      <c r="F76" s="225"/>
      <c r="G76" s="226"/>
      <c r="H76" s="222" t="str">
        <f t="shared" si="7"/>
        <v/>
      </c>
      <c r="I76" s="223" t="str">
        <f t="shared" si="8"/>
        <v/>
      </c>
      <c r="J76" s="207"/>
      <c r="K76" s="208"/>
      <c r="L76" s="202"/>
      <c r="M76" s="202"/>
      <c r="N76" s="202"/>
      <c r="O76" s="202"/>
      <c r="P76" s="202"/>
      <c r="Q76" s="202"/>
      <c r="T76" s="202"/>
      <c r="U76" s="124"/>
      <c r="V76" s="124"/>
      <c r="W76" s="124"/>
      <c r="X76" s="124"/>
      <c r="Y76" s="124"/>
      <c r="Z76" s="124"/>
      <c r="AA76" s="124"/>
      <c r="AB76" s="124"/>
      <c r="AC76" s="124"/>
      <c r="AD76" s="124"/>
      <c r="AE76" s="271" t="b">
        <v>0</v>
      </c>
      <c r="AF76" s="202"/>
      <c r="AG76" s="202"/>
      <c r="AH76" s="202"/>
      <c r="AI76" s="202"/>
      <c r="AJ76" s="202"/>
      <c r="AK76" s="202"/>
      <c r="AL76" s="202"/>
      <c r="AM76" s="202"/>
      <c r="AN76" s="202"/>
    </row>
    <row r="77" spans="1:40" ht="28.5" customHeight="1" x14ac:dyDescent="0.25">
      <c r="A77" s="32" t="str">
        <f t="shared" si="6"/>
        <v>Não</v>
      </c>
      <c r="B77" s="216">
        <v>69</v>
      </c>
      <c r="C77" s="217">
        <f>IF($L$1=0,0,IF(ISERROR(VLOOKUP($U$11&amp;"-"&amp;B77,'BD Seq Op'!C:H,2,FALSE)),0,VLOOKUP($U$11&amp;"-"&amp;B77,'BD Seq Op'!C:H,2,FALSE)))</f>
        <v>0</v>
      </c>
      <c r="D77" s="218">
        <f>IF($L$1=0,0,IF(ISERROR(VLOOKUP($U$11&amp;"-"&amp;B77,'BD Seq Op'!C:H,5,FALSE)),0,VLOOKUP($U$11&amp;"-"&amp;B77,'BD Seq Op'!C:H,5,FALSE)))</f>
        <v>0</v>
      </c>
      <c r="E77" s="219" t="str">
        <f t="shared" si="5"/>
        <v/>
      </c>
      <c r="F77" s="225"/>
      <c r="G77" s="226"/>
      <c r="H77" s="222" t="str">
        <f t="shared" si="7"/>
        <v/>
      </c>
      <c r="I77" s="223" t="str">
        <f t="shared" si="8"/>
        <v/>
      </c>
      <c r="J77" s="207"/>
      <c r="K77" s="208"/>
      <c r="L77" s="202"/>
      <c r="M77" s="202"/>
      <c r="N77" s="202"/>
      <c r="O77" s="202"/>
      <c r="P77" s="202"/>
      <c r="Q77" s="202"/>
      <c r="T77" s="202"/>
      <c r="U77" s="124"/>
      <c r="V77" s="124"/>
      <c r="W77" s="124"/>
      <c r="X77" s="124"/>
      <c r="Y77" s="124"/>
      <c r="Z77" s="124"/>
      <c r="AA77" s="124"/>
      <c r="AB77" s="124"/>
      <c r="AC77" s="124"/>
      <c r="AD77" s="124"/>
      <c r="AE77" s="271" t="b">
        <v>0</v>
      </c>
      <c r="AF77" s="202"/>
      <c r="AG77" s="202"/>
      <c r="AH77" s="202"/>
      <c r="AI77" s="202"/>
      <c r="AJ77" s="202"/>
      <c r="AK77" s="202"/>
      <c r="AL77" s="202"/>
      <c r="AM77" s="202"/>
      <c r="AN77" s="202"/>
    </row>
    <row r="78" spans="1:40" ht="28.5" customHeight="1" x14ac:dyDescent="0.25">
      <c r="A78" s="32" t="str">
        <f t="shared" si="6"/>
        <v>Não</v>
      </c>
      <c r="B78" s="224">
        <v>70</v>
      </c>
      <c r="C78" s="217">
        <f>IF($L$1=0,0,IF(ISERROR(VLOOKUP($U$11&amp;"-"&amp;B78,'BD Seq Op'!C:H,2,FALSE)),0,VLOOKUP($U$11&amp;"-"&amp;B78,'BD Seq Op'!C:H,2,FALSE)))</f>
        <v>0</v>
      </c>
      <c r="D78" s="218">
        <f>IF($L$1=0,0,IF(ISERROR(VLOOKUP($U$11&amp;"-"&amp;B78,'BD Seq Op'!C:H,5,FALSE)),0,VLOOKUP($U$11&amp;"-"&amp;B78,'BD Seq Op'!C:H,5,FALSE)))</f>
        <v>0</v>
      </c>
      <c r="E78" s="219" t="str">
        <f t="shared" si="5"/>
        <v/>
      </c>
      <c r="F78" s="225"/>
      <c r="G78" s="226"/>
      <c r="H78" s="222" t="str">
        <f t="shared" si="7"/>
        <v/>
      </c>
      <c r="I78" s="223" t="str">
        <f t="shared" si="8"/>
        <v/>
      </c>
      <c r="J78" s="207"/>
      <c r="K78" s="208"/>
      <c r="L78" s="202"/>
      <c r="M78" s="202"/>
      <c r="N78" s="202"/>
      <c r="O78" s="202"/>
      <c r="P78" s="202"/>
      <c r="Q78" s="202"/>
      <c r="T78" s="202"/>
      <c r="U78" s="124"/>
      <c r="V78" s="124"/>
      <c r="W78" s="124"/>
      <c r="X78" s="124"/>
      <c r="Y78" s="124"/>
      <c r="Z78" s="124"/>
      <c r="AA78" s="124"/>
      <c r="AB78" s="124"/>
      <c r="AC78" s="124"/>
      <c r="AD78" s="124"/>
      <c r="AE78" s="271" t="b">
        <v>0</v>
      </c>
      <c r="AF78" s="202"/>
      <c r="AG78" s="202"/>
      <c r="AH78" s="202"/>
      <c r="AI78" s="202"/>
      <c r="AJ78" s="202"/>
      <c r="AK78" s="202"/>
      <c r="AL78" s="202"/>
      <c r="AM78" s="202"/>
      <c r="AN78" s="202"/>
    </row>
    <row r="79" spans="1:40" ht="28.5" customHeight="1" x14ac:dyDescent="0.25">
      <c r="A79" s="32" t="str">
        <f t="shared" si="6"/>
        <v>Não</v>
      </c>
      <c r="B79" s="216">
        <v>71</v>
      </c>
      <c r="C79" s="217">
        <f>IF($L$1=0,0,IF(ISERROR(VLOOKUP($U$11&amp;"-"&amp;B79,'BD Seq Op'!C:H,2,FALSE)),0,VLOOKUP($U$11&amp;"-"&amp;B79,'BD Seq Op'!C:H,2,FALSE)))</f>
        <v>0</v>
      </c>
      <c r="D79" s="218">
        <f>IF($L$1=0,0,IF(ISERROR(VLOOKUP($U$11&amp;"-"&amp;B79,'BD Seq Op'!C:H,5,FALSE)),0,VLOOKUP($U$11&amp;"-"&amp;B79,'BD Seq Op'!C:H,5,FALSE)))</f>
        <v>0</v>
      </c>
      <c r="E79" s="219" t="str">
        <f t="shared" si="5"/>
        <v/>
      </c>
      <c r="F79" s="225"/>
      <c r="G79" s="226"/>
      <c r="H79" s="222" t="str">
        <f t="shared" si="7"/>
        <v/>
      </c>
      <c r="I79" s="223" t="str">
        <f t="shared" si="8"/>
        <v/>
      </c>
      <c r="J79" s="207"/>
      <c r="K79" s="208"/>
      <c r="L79" s="202"/>
      <c r="M79" s="202"/>
      <c r="N79" s="202"/>
      <c r="O79" s="202"/>
      <c r="P79" s="202"/>
      <c r="Q79" s="202"/>
      <c r="T79" s="202"/>
      <c r="U79" s="124"/>
      <c r="V79" s="124"/>
      <c r="W79" s="124"/>
      <c r="X79" s="124"/>
      <c r="Y79" s="124"/>
      <c r="Z79" s="124"/>
      <c r="AA79" s="124"/>
      <c r="AB79" s="124"/>
      <c r="AC79" s="124"/>
      <c r="AD79" s="124"/>
      <c r="AE79" s="271" t="b">
        <v>0</v>
      </c>
      <c r="AF79" s="202"/>
      <c r="AG79" s="202"/>
      <c r="AH79" s="202"/>
      <c r="AI79" s="202"/>
      <c r="AJ79" s="202"/>
      <c r="AK79" s="202"/>
      <c r="AL79" s="202"/>
      <c r="AM79" s="202"/>
      <c r="AN79" s="202"/>
    </row>
    <row r="80" spans="1:40" ht="28.5" customHeight="1" x14ac:dyDescent="0.25">
      <c r="A80" s="32" t="str">
        <f t="shared" si="6"/>
        <v>Não</v>
      </c>
      <c r="B80" s="224">
        <v>72</v>
      </c>
      <c r="C80" s="217">
        <f>IF($L$1=0,0,IF(ISERROR(VLOOKUP($U$11&amp;"-"&amp;B80,'BD Seq Op'!C:H,2,FALSE)),0,VLOOKUP($U$11&amp;"-"&amp;B80,'BD Seq Op'!C:H,2,FALSE)))</f>
        <v>0</v>
      </c>
      <c r="D80" s="218">
        <f>IF($L$1=0,0,IF(ISERROR(VLOOKUP($U$11&amp;"-"&amp;B80,'BD Seq Op'!C:H,5,FALSE)),0,VLOOKUP($U$11&amp;"-"&amp;B80,'BD Seq Op'!C:H,5,FALSE)))</f>
        <v>0</v>
      </c>
      <c r="E80" s="219" t="str">
        <f t="shared" si="5"/>
        <v/>
      </c>
      <c r="F80" s="225"/>
      <c r="G80" s="226"/>
      <c r="H80" s="222" t="str">
        <f t="shared" si="7"/>
        <v/>
      </c>
      <c r="I80" s="223" t="str">
        <f t="shared" si="8"/>
        <v/>
      </c>
      <c r="J80" s="207"/>
      <c r="K80" s="208"/>
      <c r="L80" s="202"/>
      <c r="M80" s="202"/>
      <c r="N80" s="202"/>
      <c r="O80" s="202"/>
      <c r="P80" s="202"/>
      <c r="Q80" s="202"/>
      <c r="T80" s="202"/>
      <c r="U80" s="124"/>
      <c r="V80" s="124"/>
      <c r="W80" s="124"/>
      <c r="X80" s="124"/>
      <c r="Y80" s="124"/>
      <c r="Z80" s="124"/>
      <c r="AA80" s="124"/>
      <c r="AB80" s="124"/>
      <c r="AC80" s="124"/>
      <c r="AD80" s="124"/>
      <c r="AE80" s="271" t="b">
        <v>0</v>
      </c>
      <c r="AF80" s="202"/>
      <c r="AG80" s="202"/>
      <c r="AH80" s="202"/>
      <c r="AI80" s="202"/>
      <c r="AJ80" s="202"/>
      <c r="AK80" s="202"/>
      <c r="AL80" s="202"/>
      <c r="AM80" s="202"/>
      <c r="AN80" s="202"/>
    </row>
    <row r="81" spans="1:40" ht="28.5" customHeight="1" x14ac:dyDescent="0.25">
      <c r="A81" s="32" t="str">
        <f t="shared" si="6"/>
        <v>Não</v>
      </c>
      <c r="B81" s="216">
        <v>73</v>
      </c>
      <c r="C81" s="217">
        <f>IF($L$1=0,0,IF(ISERROR(VLOOKUP($U$11&amp;"-"&amp;B81,'BD Seq Op'!C:H,2,FALSE)),0,VLOOKUP($U$11&amp;"-"&amp;B81,'BD Seq Op'!C:H,2,FALSE)))</f>
        <v>0</v>
      </c>
      <c r="D81" s="218">
        <f>IF($L$1=0,0,IF(ISERROR(VLOOKUP($U$11&amp;"-"&amp;B81,'BD Seq Op'!C:H,5,FALSE)),0,VLOOKUP($U$11&amp;"-"&amp;B81,'BD Seq Op'!C:H,5,FALSE)))</f>
        <v>0</v>
      </c>
      <c r="E81" s="219" t="str">
        <f t="shared" si="5"/>
        <v/>
      </c>
      <c r="F81" s="225"/>
      <c r="G81" s="226"/>
      <c r="H81" s="222" t="str">
        <f t="shared" si="7"/>
        <v/>
      </c>
      <c r="I81" s="223" t="str">
        <f t="shared" si="8"/>
        <v/>
      </c>
      <c r="J81" s="207"/>
      <c r="K81" s="208"/>
      <c r="L81" s="202"/>
      <c r="M81" s="202"/>
      <c r="N81" s="202"/>
      <c r="O81" s="202"/>
      <c r="P81" s="202"/>
      <c r="Q81" s="202"/>
      <c r="T81" s="202"/>
      <c r="U81" s="124"/>
      <c r="V81" s="124"/>
      <c r="W81" s="124"/>
      <c r="X81" s="124"/>
      <c r="Y81" s="124"/>
      <c r="Z81" s="124"/>
      <c r="AA81" s="124"/>
      <c r="AB81" s="124"/>
      <c r="AC81" s="124"/>
      <c r="AD81" s="124"/>
      <c r="AE81" s="271" t="b">
        <v>0</v>
      </c>
      <c r="AF81" s="202"/>
      <c r="AG81" s="202"/>
      <c r="AH81" s="202"/>
      <c r="AI81" s="202"/>
      <c r="AJ81" s="202"/>
      <c r="AK81" s="202"/>
      <c r="AL81" s="202"/>
      <c r="AM81" s="202"/>
      <c r="AN81" s="202"/>
    </row>
    <row r="82" spans="1:40" ht="28.5" customHeight="1" x14ac:dyDescent="0.25">
      <c r="A82" s="32" t="str">
        <f t="shared" si="6"/>
        <v>Não</v>
      </c>
      <c r="B82" s="224">
        <v>74</v>
      </c>
      <c r="C82" s="217">
        <f>IF($L$1=0,0,IF(ISERROR(VLOOKUP($U$11&amp;"-"&amp;B82,'BD Seq Op'!C:H,2,FALSE)),0,VLOOKUP($U$11&amp;"-"&amp;B82,'BD Seq Op'!C:H,2,FALSE)))</f>
        <v>0</v>
      </c>
      <c r="D82" s="218">
        <f>IF($L$1=0,0,IF(ISERROR(VLOOKUP($U$11&amp;"-"&amp;B82,'BD Seq Op'!C:H,5,FALSE)),0,VLOOKUP($U$11&amp;"-"&amp;B82,'BD Seq Op'!C:H,5,FALSE)))</f>
        <v>0</v>
      </c>
      <c r="E82" s="219" t="str">
        <f t="shared" si="5"/>
        <v/>
      </c>
      <c r="F82" s="225"/>
      <c r="G82" s="226"/>
      <c r="H82" s="222" t="str">
        <f t="shared" si="7"/>
        <v/>
      </c>
      <c r="I82" s="223" t="str">
        <f t="shared" si="8"/>
        <v/>
      </c>
      <c r="J82" s="207"/>
      <c r="K82" s="208"/>
      <c r="L82" s="202"/>
      <c r="M82" s="202"/>
      <c r="N82" s="202"/>
      <c r="O82" s="202"/>
      <c r="P82" s="202"/>
      <c r="Q82" s="202"/>
      <c r="T82" s="202"/>
      <c r="U82" s="124"/>
      <c r="V82" s="124"/>
      <c r="W82" s="124"/>
      <c r="X82" s="124"/>
      <c r="Y82" s="124"/>
      <c r="Z82" s="124"/>
      <c r="AA82" s="124"/>
      <c r="AB82" s="124"/>
      <c r="AC82" s="124"/>
      <c r="AD82" s="124"/>
      <c r="AE82" s="271" t="b">
        <v>0</v>
      </c>
      <c r="AF82" s="202"/>
      <c r="AG82" s="202"/>
      <c r="AH82" s="202"/>
      <c r="AI82" s="202"/>
      <c r="AJ82" s="202"/>
      <c r="AK82" s="202"/>
      <c r="AL82" s="202"/>
      <c r="AM82" s="202"/>
      <c r="AN82" s="202"/>
    </row>
    <row r="83" spans="1:40" ht="28.5" customHeight="1" x14ac:dyDescent="0.25">
      <c r="A83" s="32" t="str">
        <f t="shared" si="6"/>
        <v>Não</v>
      </c>
      <c r="B83" s="216">
        <v>75</v>
      </c>
      <c r="C83" s="217">
        <f>IF($L$1=0,0,IF(ISERROR(VLOOKUP($U$11&amp;"-"&amp;B83,'BD Seq Op'!C:H,2,FALSE)),0,VLOOKUP($U$11&amp;"-"&amp;B83,'BD Seq Op'!C:H,2,FALSE)))</f>
        <v>0</v>
      </c>
      <c r="D83" s="218">
        <f>IF($L$1=0,0,IF(ISERROR(VLOOKUP($U$11&amp;"-"&amp;B83,'BD Seq Op'!C:H,5,FALSE)),0,VLOOKUP($U$11&amp;"-"&amp;B83,'BD Seq Op'!C:H,5,FALSE)))</f>
        <v>0</v>
      </c>
      <c r="E83" s="219" t="str">
        <f t="shared" si="5"/>
        <v/>
      </c>
      <c r="F83" s="225"/>
      <c r="G83" s="226"/>
      <c r="H83" s="222" t="str">
        <f t="shared" si="7"/>
        <v/>
      </c>
      <c r="I83" s="223" t="str">
        <f t="shared" si="8"/>
        <v/>
      </c>
      <c r="J83" s="207"/>
      <c r="K83" s="208"/>
      <c r="L83" s="202"/>
      <c r="M83" s="202"/>
      <c r="N83" s="202"/>
      <c r="O83" s="202"/>
      <c r="P83" s="202"/>
      <c r="Q83" s="202"/>
      <c r="T83" s="202"/>
      <c r="U83" s="124"/>
      <c r="V83" s="124"/>
      <c r="W83" s="124"/>
      <c r="X83" s="124"/>
      <c r="Y83" s="124"/>
      <c r="Z83" s="124"/>
      <c r="AA83" s="124"/>
      <c r="AB83" s="124"/>
      <c r="AC83" s="124"/>
      <c r="AD83" s="124"/>
      <c r="AE83" s="271" t="b">
        <v>0</v>
      </c>
      <c r="AF83" s="202"/>
      <c r="AG83" s="202"/>
      <c r="AH83" s="202"/>
      <c r="AI83" s="202"/>
      <c r="AJ83" s="202"/>
      <c r="AK83" s="202"/>
      <c r="AL83" s="202"/>
      <c r="AM83" s="202"/>
      <c r="AN83" s="202"/>
    </row>
    <row r="84" spans="1:40" ht="28.5" customHeight="1" x14ac:dyDescent="0.25">
      <c r="A84" s="32" t="str">
        <f t="shared" si="6"/>
        <v>Não</v>
      </c>
      <c r="B84" s="224">
        <v>76</v>
      </c>
      <c r="C84" s="217">
        <f>IF($L$1=0,0,IF(ISERROR(VLOOKUP($U$11&amp;"-"&amp;B84,'BD Seq Op'!C:H,2,FALSE)),0,VLOOKUP($U$11&amp;"-"&amp;B84,'BD Seq Op'!C:H,2,FALSE)))</f>
        <v>0</v>
      </c>
      <c r="D84" s="218">
        <f>IF($L$1=0,0,IF(ISERROR(VLOOKUP($U$11&amp;"-"&amp;B84,'BD Seq Op'!C:H,5,FALSE)),0,VLOOKUP($U$11&amp;"-"&amp;B84,'BD Seq Op'!C:H,5,FALSE)))</f>
        <v>0</v>
      </c>
      <c r="E84" s="219" t="str">
        <f t="shared" si="5"/>
        <v/>
      </c>
      <c r="F84" s="225"/>
      <c r="G84" s="226"/>
      <c r="H84" s="222" t="str">
        <f t="shared" si="7"/>
        <v/>
      </c>
      <c r="I84" s="223" t="str">
        <f t="shared" si="8"/>
        <v/>
      </c>
      <c r="J84" s="207"/>
      <c r="K84" s="208"/>
      <c r="L84" s="202"/>
      <c r="M84" s="202"/>
      <c r="N84" s="202"/>
      <c r="O84" s="202"/>
      <c r="P84" s="202"/>
      <c r="Q84" s="202"/>
      <c r="T84" s="202"/>
      <c r="U84" s="124"/>
      <c r="V84" s="124"/>
      <c r="W84" s="124"/>
      <c r="X84" s="124"/>
      <c r="Y84" s="124"/>
      <c r="Z84" s="124"/>
      <c r="AA84" s="124"/>
      <c r="AB84" s="124"/>
      <c r="AC84" s="124"/>
      <c r="AD84" s="124"/>
      <c r="AE84" s="271" t="b">
        <v>0</v>
      </c>
      <c r="AF84" s="202"/>
      <c r="AG84" s="202"/>
      <c r="AH84" s="202"/>
      <c r="AI84" s="202"/>
      <c r="AJ84" s="202"/>
      <c r="AK84" s="202"/>
      <c r="AL84" s="202"/>
      <c r="AM84" s="202"/>
      <c r="AN84" s="202"/>
    </row>
    <row r="85" spans="1:40" ht="28.5" customHeight="1" x14ac:dyDescent="0.25">
      <c r="A85" s="32" t="str">
        <f t="shared" si="6"/>
        <v>Não</v>
      </c>
      <c r="B85" s="216">
        <v>77</v>
      </c>
      <c r="C85" s="217">
        <f>IF($L$1=0,0,IF(ISERROR(VLOOKUP($U$11&amp;"-"&amp;B85,'BD Seq Op'!C:H,2,FALSE)),0,VLOOKUP($U$11&amp;"-"&amp;B85,'BD Seq Op'!C:H,2,FALSE)))</f>
        <v>0</v>
      </c>
      <c r="D85" s="218">
        <f>IF($L$1=0,0,IF(ISERROR(VLOOKUP($U$11&amp;"-"&amp;B85,'BD Seq Op'!C:H,5,FALSE)),0,VLOOKUP($U$11&amp;"-"&amp;B85,'BD Seq Op'!C:H,5,FALSE)))</f>
        <v>0</v>
      </c>
      <c r="E85" s="219" t="str">
        <f t="shared" si="5"/>
        <v/>
      </c>
      <c r="F85" s="225"/>
      <c r="G85" s="226"/>
      <c r="H85" s="222" t="str">
        <f t="shared" si="7"/>
        <v/>
      </c>
      <c r="I85" s="223" t="str">
        <f t="shared" si="8"/>
        <v/>
      </c>
      <c r="J85" s="207"/>
      <c r="K85" s="208"/>
      <c r="L85" s="202"/>
      <c r="M85" s="202"/>
      <c r="N85" s="202"/>
      <c r="O85" s="202"/>
      <c r="P85" s="202"/>
      <c r="Q85" s="202"/>
      <c r="T85" s="202"/>
      <c r="U85" s="124"/>
      <c r="V85" s="124"/>
      <c r="W85" s="124"/>
      <c r="X85" s="124"/>
      <c r="Y85" s="124"/>
      <c r="Z85" s="124"/>
      <c r="AA85" s="124"/>
      <c r="AB85" s="124"/>
      <c r="AC85" s="124"/>
      <c r="AD85" s="124"/>
      <c r="AE85" s="271" t="b">
        <v>0</v>
      </c>
      <c r="AF85" s="202"/>
      <c r="AG85" s="202"/>
      <c r="AH85" s="202"/>
      <c r="AI85" s="202"/>
      <c r="AJ85" s="202"/>
      <c r="AK85" s="202"/>
      <c r="AL85" s="202"/>
      <c r="AM85" s="202"/>
      <c r="AN85" s="202"/>
    </row>
    <row r="86" spans="1:40" ht="28.5" customHeight="1" x14ac:dyDescent="0.25">
      <c r="A86" s="32" t="str">
        <f t="shared" si="6"/>
        <v>Não</v>
      </c>
      <c r="B86" s="224">
        <v>78</v>
      </c>
      <c r="C86" s="217">
        <f>IF($L$1=0,0,IF(ISERROR(VLOOKUP($U$11&amp;"-"&amp;B86,'BD Seq Op'!C:H,2,FALSE)),0,VLOOKUP($U$11&amp;"-"&amp;B86,'BD Seq Op'!C:H,2,FALSE)))</f>
        <v>0</v>
      </c>
      <c r="D86" s="218">
        <f>IF($L$1=0,0,IF(ISERROR(VLOOKUP($U$11&amp;"-"&amp;B86,'BD Seq Op'!C:H,5,FALSE)),0,VLOOKUP($U$11&amp;"-"&amp;B86,'BD Seq Op'!C:H,5,FALSE)))</f>
        <v>0</v>
      </c>
      <c r="E86" s="219" t="str">
        <f t="shared" si="5"/>
        <v/>
      </c>
      <c r="F86" s="225"/>
      <c r="G86" s="226"/>
      <c r="H86" s="222" t="str">
        <f t="shared" si="7"/>
        <v/>
      </c>
      <c r="I86" s="223" t="str">
        <f t="shared" si="8"/>
        <v/>
      </c>
      <c r="J86" s="207"/>
      <c r="K86" s="208"/>
      <c r="L86" s="202"/>
      <c r="M86" s="202"/>
      <c r="N86" s="202"/>
      <c r="O86" s="202"/>
      <c r="P86" s="202"/>
      <c r="Q86" s="202"/>
      <c r="T86" s="202"/>
      <c r="U86" s="124"/>
      <c r="V86" s="124"/>
      <c r="W86" s="124"/>
      <c r="X86" s="124"/>
      <c r="Y86" s="124"/>
      <c r="Z86" s="124"/>
      <c r="AA86" s="124"/>
      <c r="AB86" s="124"/>
      <c r="AC86" s="124"/>
      <c r="AD86" s="124"/>
      <c r="AE86" s="271" t="b">
        <v>0</v>
      </c>
      <c r="AF86" s="202"/>
      <c r="AG86" s="202"/>
      <c r="AH86" s="202"/>
      <c r="AI86" s="202"/>
      <c r="AJ86" s="202"/>
      <c r="AK86" s="202"/>
      <c r="AL86" s="202"/>
      <c r="AM86" s="202"/>
      <c r="AN86" s="202"/>
    </row>
    <row r="87" spans="1:40" ht="28.5" customHeight="1" x14ac:dyDescent="0.25">
      <c r="A87" s="32" t="str">
        <f t="shared" si="6"/>
        <v>Não</v>
      </c>
      <c r="B87" s="216">
        <v>79</v>
      </c>
      <c r="C87" s="217">
        <f>IF($L$1=0,0,IF(ISERROR(VLOOKUP($U$11&amp;"-"&amp;B87,'BD Seq Op'!C:H,2,FALSE)),0,VLOOKUP($U$11&amp;"-"&amp;B87,'BD Seq Op'!C:H,2,FALSE)))</f>
        <v>0</v>
      </c>
      <c r="D87" s="218">
        <f>IF($L$1=0,0,IF(ISERROR(VLOOKUP($U$11&amp;"-"&amp;B87,'BD Seq Op'!C:H,5,FALSE)),0,VLOOKUP($U$11&amp;"-"&amp;B87,'BD Seq Op'!C:H,5,FALSE)))</f>
        <v>0</v>
      </c>
      <c r="E87" s="219" t="str">
        <f t="shared" si="5"/>
        <v/>
      </c>
      <c r="F87" s="225"/>
      <c r="G87" s="226"/>
      <c r="H87" s="222" t="str">
        <f t="shared" si="7"/>
        <v/>
      </c>
      <c r="I87" s="223" t="str">
        <f t="shared" si="8"/>
        <v/>
      </c>
      <c r="J87" s="207"/>
      <c r="K87" s="208"/>
      <c r="L87" s="202"/>
      <c r="M87" s="202"/>
      <c r="N87" s="202"/>
      <c r="O87" s="202"/>
      <c r="P87" s="202"/>
      <c r="Q87" s="202"/>
      <c r="T87" s="202"/>
      <c r="U87" s="124"/>
      <c r="V87" s="124"/>
      <c r="W87" s="124"/>
      <c r="X87" s="124"/>
      <c r="Y87" s="124"/>
      <c r="Z87" s="124"/>
      <c r="AA87" s="124"/>
      <c r="AB87" s="124"/>
      <c r="AC87" s="124"/>
      <c r="AD87" s="124"/>
      <c r="AE87" s="271" t="b">
        <v>0</v>
      </c>
      <c r="AF87" s="202"/>
      <c r="AG87" s="202"/>
      <c r="AH87" s="202"/>
      <c r="AI87" s="202"/>
      <c r="AJ87" s="202"/>
      <c r="AK87" s="202"/>
      <c r="AL87" s="202"/>
      <c r="AM87" s="202"/>
      <c r="AN87" s="202"/>
    </row>
    <row r="88" spans="1:40" ht="28.5" customHeight="1" x14ac:dyDescent="0.25">
      <c r="A88" s="32" t="str">
        <f t="shared" si="6"/>
        <v>Não</v>
      </c>
      <c r="B88" s="224">
        <v>80</v>
      </c>
      <c r="C88" s="217">
        <f>IF($L$1=0,0,IF(ISERROR(VLOOKUP($U$11&amp;"-"&amp;B88,'BD Seq Op'!C:H,2,FALSE)),0,VLOOKUP($U$11&amp;"-"&amp;B88,'BD Seq Op'!C:H,2,FALSE)))</f>
        <v>0</v>
      </c>
      <c r="D88" s="218">
        <f>IF($L$1=0,0,IF(ISERROR(VLOOKUP($U$11&amp;"-"&amp;B88,'BD Seq Op'!C:H,5,FALSE)),0,VLOOKUP($U$11&amp;"-"&amp;B88,'BD Seq Op'!C:H,5,FALSE)))</f>
        <v>0</v>
      </c>
      <c r="E88" s="219" t="str">
        <f t="shared" si="5"/>
        <v/>
      </c>
      <c r="F88" s="225"/>
      <c r="G88" s="226"/>
      <c r="H88" s="222" t="str">
        <f t="shared" si="7"/>
        <v/>
      </c>
      <c r="I88" s="223" t="str">
        <f t="shared" si="8"/>
        <v/>
      </c>
      <c r="J88" s="207"/>
      <c r="K88" s="208"/>
      <c r="L88" s="202"/>
      <c r="M88" s="202"/>
      <c r="N88" s="202"/>
      <c r="O88" s="202"/>
      <c r="P88" s="202"/>
      <c r="Q88" s="202"/>
      <c r="T88" s="202"/>
      <c r="U88" s="124"/>
      <c r="V88" s="124"/>
      <c r="W88" s="124"/>
      <c r="X88" s="124"/>
      <c r="Y88" s="124"/>
      <c r="Z88" s="124"/>
      <c r="AA88" s="124"/>
      <c r="AB88" s="124"/>
      <c r="AC88" s="124"/>
      <c r="AD88" s="124"/>
      <c r="AE88" s="271" t="b">
        <v>0</v>
      </c>
      <c r="AF88" s="202"/>
      <c r="AG88" s="202"/>
      <c r="AH88" s="202"/>
      <c r="AI88" s="202"/>
      <c r="AJ88" s="202"/>
      <c r="AK88" s="202"/>
      <c r="AL88" s="202"/>
      <c r="AM88" s="202"/>
      <c r="AN88" s="202"/>
    </row>
    <row r="89" spans="1:40" ht="28.5" customHeight="1" x14ac:dyDescent="0.25">
      <c r="A89" s="32" t="str">
        <f t="shared" si="6"/>
        <v>Não</v>
      </c>
      <c r="B89" s="216">
        <v>81</v>
      </c>
      <c r="C89" s="217">
        <f>IF($L$1=0,0,IF(ISERROR(VLOOKUP($U$11&amp;"-"&amp;B89,'BD Seq Op'!C:H,2,FALSE)),0,VLOOKUP($U$11&amp;"-"&amp;B89,'BD Seq Op'!C:H,2,FALSE)))</f>
        <v>0</v>
      </c>
      <c r="D89" s="218">
        <f>IF($L$1=0,0,IF(ISERROR(VLOOKUP($U$11&amp;"-"&amp;B89,'BD Seq Op'!C:H,5,FALSE)),0,VLOOKUP($U$11&amp;"-"&amp;B89,'BD Seq Op'!C:H,5,FALSE)))</f>
        <v>0</v>
      </c>
      <c r="E89" s="219" t="str">
        <f t="shared" si="5"/>
        <v/>
      </c>
      <c r="F89" s="225"/>
      <c r="G89" s="226"/>
      <c r="H89" s="222" t="str">
        <f t="shared" si="7"/>
        <v/>
      </c>
      <c r="I89" s="223" t="str">
        <f t="shared" si="8"/>
        <v/>
      </c>
      <c r="J89" s="207"/>
      <c r="K89" s="208"/>
      <c r="L89" s="202"/>
      <c r="M89" s="202"/>
      <c r="N89" s="202"/>
      <c r="O89" s="202"/>
      <c r="P89" s="202"/>
      <c r="Q89" s="202"/>
      <c r="T89" s="202"/>
      <c r="U89" s="124"/>
      <c r="V89" s="124"/>
      <c r="W89" s="124"/>
      <c r="X89" s="124"/>
      <c r="Y89" s="124"/>
      <c r="Z89" s="124"/>
      <c r="AA89" s="124"/>
      <c r="AB89" s="124"/>
      <c r="AC89" s="124"/>
      <c r="AD89" s="124"/>
      <c r="AE89" s="271" t="b">
        <v>0</v>
      </c>
      <c r="AF89" s="202"/>
      <c r="AG89" s="202"/>
      <c r="AH89" s="202"/>
      <c r="AI89" s="202"/>
      <c r="AJ89" s="202"/>
      <c r="AK89" s="202"/>
      <c r="AL89" s="202"/>
      <c r="AM89" s="202"/>
      <c r="AN89" s="202"/>
    </row>
    <row r="90" spans="1:40" ht="28.5" customHeight="1" x14ac:dyDescent="0.25">
      <c r="A90" s="32" t="str">
        <f t="shared" si="6"/>
        <v>Não</v>
      </c>
      <c r="B90" s="224">
        <v>82</v>
      </c>
      <c r="C90" s="217">
        <f>IF($L$1=0,0,IF(ISERROR(VLOOKUP($U$11&amp;"-"&amp;B90,'BD Seq Op'!C:H,2,FALSE)),0,VLOOKUP($U$11&amp;"-"&amp;B90,'BD Seq Op'!C:H,2,FALSE)))</f>
        <v>0</v>
      </c>
      <c r="D90" s="218">
        <f>IF($L$1=0,0,IF(ISERROR(VLOOKUP($U$11&amp;"-"&amp;B90,'BD Seq Op'!C:H,5,FALSE)),0,VLOOKUP($U$11&amp;"-"&amp;B90,'BD Seq Op'!C:H,5,FALSE)))</f>
        <v>0</v>
      </c>
      <c r="E90" s="219" t="str">
        <f t="shared" si="5"/>
        <v/>
      </c>
      <c r="F90" s="225"/>
      <c r="G90" s="226"/>
      <c r="H90" s="222" t="str">
        <f t="shared" si="7"/>
        <v/>
      </c>
      <c r="I90" s="223" t="str">
        <f t="shared" si="8"/>
        <v/>
      </c>
      <c r="J90" s="207"/>
      <c r="K90" s="208"/>
      <c r="L90" s="202"/>
      <c r="M90" s="202"/>
      <c r="N90" s="202"/>
      <c r="O90" s="202"/>
      <c r="P90" s="202"/>
      <c r="Q90" s="202"/>
      <c r="T90" s="202"/>
      <c r="U90" s="124"/>
      <c r="V90" s="124"/>
      <c r="W90" s="124"/>
      <c r="X90" s="124"/>
      <c r="Y90" s="124"/>
      <c r="Z90" s="124"/>
      <c r="AA90" s="124"/>
      <c r="AB90" s="124"/>
      <c r="AC90" s="124"/>
      <c r="AD90" s="124"/>
      <c r="AE90" s="271" t="b">
        <v>0</v>
      </c>
      <c r="AF90" s="202"/>
      <c r="AG90" s="202"/>
      <c r="AH90" s="202"/>
      <c r="AI90" s="202"/>
      <c r="AJ90" s="202"/>
      <c r="AK90" s="202"/>
      <c r="AL90" s="202"/>
      <c r="AM90" s="202"/>
      <c r="AN90" s="202"/>
    </row>
    <row r="91" spans="1:40" ht="28.5" customHeight="1" x14ac:dyDescent="0.25">
      <c r="A91" s="32" t="str">
        <f t="shared" si="6"/>
        <v>Não</v>
      </c>
      <c r="B91" s="216">
        <v>83</v>
      </c>
      <c r="C91" s="217">
        <f>IF($L$1=0,0,IF(ISERROR(VLOOKUP($U$11&amp;"-"&amp;B91,'BD Seq Op'!C:H,2,FALSE)),0,VLOOKUP($U$11&amp;"-"&amp;B91,'BD Seq Op'!C:H,2,FALSE)))</f>
        <v>0</v>
      </c>
      <c r="D91" s="218">
        <f>IF($L$1=0,0,IF(ISERROR(VLOOKUP($U$11&amp;"-"&amp;B91,'BD Seq Op'!C:H,5,FALSE)),0,VLOOKUP($U$11&amp;"-"&amp;B91,'BD Seq Op'!C:H,5,FALSE)))</f>
        <v>0</v>
      </c>
      <c r="E91" s="219" t="str">
        <f t="shared" si="5"/>
        <v/>
      </c>
      <c r="F91" s="225"/>
      <c r="G91" s="226"/>
      <c r="H91" s="222" t="str">
        <f t="shared" si="7"/>
        <v/>
      </c>
      <c r="I91" s="223" t="str">
        <f t="shared" si="8"/>
        <v/>
      </c>
      <c r="J91" s="207"/>
      <c r="K91" s="208"/>
      <c r="L91" s="202"/>
      <c r="M91" s="202"/>
      <c r="N91" s="202"/>
      <c r="O91" s="202"/>
      <c r="P91" s="202"/>
      <c r="Q91" s="202"/>
      <c r="T91" s="202"/>
      <c r="U91" s="124"/>
      <c r="V91" s="124"/>
      <c r="W91" s="124"/>
      <c r="X91" s="124"/>
      <c r="Y91" s="124"/>
      <c r="Z91" s="124"/>
      <c r="AA91" s="124"/>
      <c r="AB91" s="124"/>
      <c r="AC91" s="124"/>
      <c r="AD91" s="124"/>
      <c r="AE91" s="271" t="b">
        <v>0</v>
      </c>
      <c r="AF91" s="202"/>
      <c r="AG91" s="202"/>
      <c r="AH91" s="202"/>
      <c r="AI91" s="202"/>
      <c r="AJ91" s="202"/>
      <c r="AK91" s="202"/>
      <c r="AL91" s="202"/>
      <c r="AM91" s="202"/>
      <c r="AN91" s="202"/>
    </row>
    <row r="92" spans="1:40" ht="28.5" customHeight="1" x14ac:dyDescent="0.25">
      <c r="A92" s="32" t="str">
        <f t="shared" si="6"/>
        <v>Não</v>
      </c>
      <c r="B92" s="224">
        <v>84</v>
      </c>
      <c r="C92" s="217">
        <f>IF($L$1=0,0,IF(ISERROR(VLOOKUP($U$11&amp;"-"&amp;B92,'BD Seq Op'!C:H,2,FALSE)),0,VLOOKUP($U$11&amp;"-"&amp;B92,'BD Seq Op'!C:H,2,FALSE)))</f>
        <v>0</v>
      </c>
      <c r="D92" s="218">
        <f>IF($L$1=0,0,IF(ISERROR(VLOOKUP($U$11&amp;"-"&amp;B92,'BD Seq Op'!C:H,5,FALSE)),0,VLOOKUP($U$11&amp;"-"&amp;B92,'BD Seq Op'!C:H,5,FALSE)))</f>
        <v>0</v>
      </c>
      <c r="E92" s="219" t="str">
        <f t="shared" si="5"/>
        <v/>
      </c>
      <c r="F92" s="225"/>
      <c r="G92" s="226"/>
      <c r="H92" s="222" t="str">
        <f t="shared" si="7"/>
        <v/>
      </c>
      <c r="I92" s="223" t="str">
        <f t="shared" si="8"/>
        <v/>
      </c>
      <c r="J92" s="207"/>
      <c r="K92" s="208"/>
      <c r="L92" s="202"/>
      <c r="M92" s="202"/>
      <c r="N92" s="202"/>
      <c r="O92" s="202"/>
      <c r="P92" s="202"/>
      <c r="Q92" s="202"/>
      <c r="T92" s="202"/>
      <c r="U92" s="124"/>
      <c r="V92" s="124"/>
      <c r="W92" s="124"/>
      <c r="X92" s="124"/>
      <c r="Y92" s="124"/>
      <c r="Z92" s="124"/>
      <c r="AA92" s="124"/>
      <c r="AB92" s="124"/>
      <c r="AC92" s="124"/>
      <c r="AD92" s="124"/>
      <c r="AE92" s="271" t="b">
        <v>0</v>
      </c>
      <c r="AF92" s="202"/>
      <c r="AG92" s="202"/>
      <c r="AH92" s="202"/>
      <c r="AI92" s="202"/>
      <c r="AJ92" s="202"/>
      <c r="AK92" s="202"/>
      <c r="AL92" s="202"/>
      <c r="AM92" s="202"/>
      <c r="AN92" s="202"/>
    </row>
    <row r="93" spans="1:40" ht="28.5" customHeight="1" x14ac:dyDescent="0.25">
      <c r="A93" s="32" t="str">
        <f t="shared" si="6"/>
        <v>Não</v>
      </c>
      <c r="B93" s="216">
        <v>85</v>
      </c>
      <c r="C93" s="217">
        <f>IF($L$1=0,0,IF(ISERROR(VLOOKUP($U$11&amp;"-"&amp;B93,'BD Seq Op'!C:H,2,FALSE)),0,VLOOKUP($U$11&amp;"-"&amp;B93,'BD Seq Op'!C:H,2,FALSE)))</f>
        <v>0</v>
      </c>
      <c r="D93" s="218">
        <f>IF($L$1=0,0,IF(ISERROR(VLOOKUP($U$11&amp;"-"&amp;B93,'BD Seq Op'!C:H,5,FALSE)),0,VLOOKUP($U$11&amp;"-"&amp;B93,'BD Seq Op'!C:H,5,FALSE)))</f>
        <v>0</v>
      </c>
      <c r="E93" s="219" t="str">
        <f t="shared" si="5"/>
        <v/>
      </c>
      <c r="F93" s="225"/>
      <c r="G93" s="226"/>
      <c r="H93" s="222" t="str">
        <f t="shared" si="7"/>
        <v/>
      </c>
      <c r="I93" s="223" t="str">
        <f t="shared" si="8"/>
        <v/>
      </c>
      <c r="J93" s="207"/>
      <c r="K93" s="208"/>
      <c r="L93" s="202"/>
      <c r="M93" s="202"/>
      <c r="N93" s="202"/>
      <c r="O93" s="202"/>
      <c r="P93" s="202"/>
      <c r="Q93" s="202"/>
      <c r="T93" s="202"/>
      <c r="U93" s="124"/>
      <c r="V93" s="124"/>
      <c r="W93" s="124"/>
      <c r="X93" s="124"/>
      <c r="Y93" s="124"/>
      <c r="Z93" s="124"/>
      <c r="AA93" s="124"/>
      <c r="AB93" s="124"/>
      <c r="AC93" s="124"/>
      <c r="AD93" s="124"/>
      <c r="AE93" s="271" t="b">
        <v>0</v>
      </c>
      <c r="AF93" s="202"/>
      <c r="AG93" s="202"/>
      <c r="AH93" s="202"/>
      <c r="AI93" s="202"/>
      <c r="AJ93" s="202"/>
      <c r="AK93" s="202"/>
      <c r="AL93" s="202"/>
      <c r="AM93" s="202"/>
      <c r="AN93" s="202"/>
    </row>
    <row r="94" spans="1:40" ht="28.5" customHeight="1" x14ac:dyDescent="0.25">
      <c r="A94" s="32" t="str">
        <f t="shared" si="6"/>
        <v>Não</v>
      </c>
      <c r="B94" s="224">
        <v>86</v>
      </c>
      <c r="C94" s="217">
        <f>IF($L$1=0,0,IF(ISERROR(VLOOKUP($U$11&amp;"-"&amp;B94,'BD Seq Op'!C:H,2,FALSE)),0,VLOOKUP($U$11&amp;"-"&amp;B94,'BD Seq Op'!C:H,2,FALSE)))</f>
        <v>0</v>
      </c>
      <c r="D94" s="218">
        <f>IF($L$1=0,0,IF(ISERROR(VLOOKUP($U$11&amp;"-"&amp;B94,'BD Seq Op'!C:H,5,FALSE)),0,VLOOKUP($U$11&amp;"-"&amp;B94,'BD Seq Op'!C:H,5,FALSE)))</f>
        <v>0</v>
      </c>
      <c r="E94" s="219" t="str">
        <f t="shared" si="5"/>
        <v/>
      </c>
      <c r="F94" s="225"/>
      <c r="G94" s="226"/>
      <c r="H94" s="222" t="str">
        <f t="shared" si="7"/>
        <v/>
      </c>
      <c r="I94" s="223" t="str">
        <f t="shared" si="8"/>
        <v/>
      </c>
      <c r="J94" s="207"/>
      <c r="K94" s="208"/>
      <c r="L94" s="202"/>
      <c r="M94" s="202"/>
      <c r="N94" s="202"/>
      <c r="O94" s="202"/>
      <c r="P94" s="202"/>
      <c r="Q94" s="202"/>
      <c r="T94" s="202"/>
      <c r="U94" s="124"/>
      <c r="V94" s="124"/>
      <c r="W94" s="124"/>
      <c r="X94" s="124"/>
      <c r="Y94" s="124"/>
      <c r="Z94" s="124"/>
      <c r="AA94" s="124"/>
      <c r="AB94" s="124"/>
      <c r="AC94" s="124"/>
      <c r="AD94" s="124"/>
      <c r="AE94" s="271" t="b">
        <v>0</v>
      </c>
      <c r="AF94" s="202"/>
      <c r="AG94" s="202"/>
      <c r="AH94" s="202"/>
      <c r="AI94" s="202"/>
      <c r="AJ94" s="202"/>
      <c r="AK94" s="202"/>
      <c r="AL94" s="202"/>
      <c r="AM94" s="202"/>
      <c r="AN94" s="202"/>
    </row>
    <row r="95" spans="1:40" ht="28.5" customHeight="1" x14ac:dyDescent="0.25">
      <c r="A95" s="32" t="str">
        <f t="shared" si="6"/>
        <v>Não</v>
      </c>
      <c r="B95" s="216">
        <v>87</v>
      </c>
      <c r="C95" s="217">
        <f>IF($L$1=0,0,IF(ISERROR(VLOOKUP($U$11&amp;"-"&amp;B95,'BD Seq Op'!C:H,2,FALSE)),0,VLOOKUP($U$11&amp;"-"&amp;B95,'BD Seq Op'!C:H,2,FALSE)))</f>
        <v>0</v>
      </c>
      <c r="D95" s="218">
        <f>IF($L$1=0,0,IF(ISERROR(VLOOKUP($U$11&amp;"-"&amp;B95,'BD Seq Op'!C:H,5,FALSE)),0,VLOOKUP($U$11&amp;"-"&amp;B95,'BD Seq Op'!C:H,5,FALSE)))</f>
        <v>0</v>
      </c>
      <c r="E95" s="219" t="str">
        <f t="shared" si="5"/>
        <v/>
      </c>
      <c r="F95" s="225"/>
      <c r="G95" s="226"/>
      <c r="H95" s="222" t="str">
        <f t="shared" si="7"/>
        <v/>
      </c>
      <c r="I95" s="223" t="str">
        <f t="shared" si="8"/>
        <v/>
      </c>
      <c r="J95" s="207"/>
      <c r="K95" s="208"/>
      <c r="L95" s="202"/>
      <c r="M95" s="202"/>
      <c r="N95" s="202"/>
      <c r="O95" s="202"/>
      <c r="P95" s="202"/>
      <c r="Q95" s="202"/>
      <c r="T95" s="202"/>
      <c r="U95" s="124"/>
      <c r="V95" s="124"/>
      <c r="W95" s="124"/>
      <c r="X95" s="124"/>
      <c r="Y95" s="124"/>
      <c r="Z95" s="124"/>
      <c r="AA95" s="124"/>
      <c r="AB95" s="124"/>
      <c r="AC95" s="124"/>
      <c r="AD95" s="124"/>
      <c r="AE95" s="271" t="b">
        <v>0</v>
      </c>
      <c r="AF95" s="202"/>
      <c r="AG95" s="202"/>
      <c r="AH95" s="202"/>
      <c r="AI95" s="202"/>
      <c r="AJ95" s="202"/>
      <c r="AK95" s="202"/>
      <c r="AL95" s="202"/>
      <c r="AM95" s="202"/>
      <c r="AN95" s="202"/>
    </row>
    <row r="96" spans="1:40" ht="28.5" customHeight="1" x14ac:dyDescent="0.25">
      <c r="A96" s="32" t="str">
        <f t="shared" si="6"/>
        <v>Não</v>
      </c>
      <c r="B96" s="224">
        <v>88</v>
      </c>
      <c r="C96" s="217">
        <f>IF($L$1=0,0,IF(ISERROR(VLOOKUP($U$11&amp;"-"&amp;B96,'BD Seq Op'!C:H,2,FALSE)),0,VLOOKUP($U$11&amp;"-"&amp;B96,'BD Seq Op'!C:H,2,FALSE)))</f>
        <v>0</v>
      </c>
      <c r="D96" s="218">
        <f>IF($L$1=0,0,IF(ISERROR(VLOOKUP($U$11&amp;"-"&amp;B96,'BD Seq Op'!C:H,5,FALSE)),0,VLOOKUP($U$11&amp;"-"&amp;B96,'BD Seq Op'!C:H,5,FALSE)))</f>
        <v>0</v>
      </c>
      <c r="E96" s="219" t="str">
        <f t="shared" si="5"/>
        <v/>
      </c>
      <c r="F96" s="225"/>
      <c r="G96" s="226"/>
      <c r="H96" s="222" t="str">
        <f t="shared" si="7"/>
        <v/>
      </c>
      <c r="I96" s="223" t="str">
        <f t="shared" si="8"/>
        <v/>
      </c>
      <c r="J96" s="207"/>
      <c r="K96" s="208"/>
      <c r="L96" s="202"/>
      <c r="M96" s="202"/>
      <c r="N96" s="202"/>
      <c r="O96" s="202"/>
      <c r="P96" s="202"/>
      <c r="Q96" s="202"/>
      <c r="T96" s="202"/>
      <c r="U96" s="124"/>
      <c r="V96" s="124"/>
      <c r="W96" s="124"/>
      <c r="X96" s="124"/>
      <c r="Y96" s="124"/>
      <c r="Z96" s="124"/>
      <c r="AA96" s="124"/>
      <c r="AB96" s="124"/>
      <c r="AC96" s="124"/>
      <c r="AD96" s="124"/>
      <c r="AE96" s="271" t="b">
        <v>0</v>
      </c>
      <c r="AF96" s="202"/>
      <c r="AG96" s="202"/>
      <c r="AH96" s="202"/>
      <c r="AI96" s="202"/>
      <c r="AJ96" s="202"/>
      <c r="AK96" s="202"/>
      <c r="AL96" s="202"/>
      <c r="AM96" s="202"/>
      <c r="AN96" s="202"/>
    </row>
    <row r="97" spans="1:40" ht="28.5" customHeight="1" x14ac:dyDescent="0.25">
      <c r="A97" s="32" t="str">
        <f t="shared" si="6"/>
        <v>Não</v>
      </c>
      <c r="B97" s="216">
        <v>89</v>
      </c>
      <c r="C97" s="217">
        <f>IF($L$1=0,0,IF(ISERROR(VLOOKUP($U$11&amp;"-"&amp;B97,'BD Seq Op'!C:H,2,FALSE)),0,VLOOKUP($U$11&amp;"-"&amp;B97,'BD Seq Op'!C:H,2,FALSE)))</f>
        <v>0</v>
      </c>
      <c r="D97" s="218">
        <f>IF($L$1=0,0,IF(ISERROR(VLOOKUP($U$11&amp;"-"&amp;B97,'BD Seq Op'!C:H,5,FALSE)),0,VLOOKUP($U$11&amp;"-"&amp;B97,'BD Seq Op'!C:H,5,FALSE)))</f>
        <v>0</v>
      </c>
      <c r="E97" s="219" t="str">
        <f t="shared" si="5"/>
        <v/>
      </c>
      <c r="F97" s="225"/>
      <c r="G97" s="226"/>
      <c r="H97" s="222" t="str">
        <f t="shared" si="7"/>
        <v/>
      </c>
      <c r="I97" s="223" t="str">
        <f t="shared" si="8"/>
        <v/>
      </c>
      <c r="J97" s="207"/>
      <c r="K97" s="208"/>
      <c r="L97" s="202"/>
      <c r="M97" s="202"/>
      <c r="N97" s="202"/>
      <c r="O97" s="202"/>
      <c r="P97" s="202"/>
      <c r="Q97" s="202"/>
      <c r="T97" s="202"/>
      <c r="U97" s="124"/>
      <c r="V97" s="124"/>
      <c r="W97" s="124"/>
      <c r="X97" s="124"/>
      <c r="Y97" s="124"/>
      <c r="Z97" s="124"/>
      <c r="AA97" s="124"/>
      <c r="AB97" s="124"/>
      <c r="AC97" s="124"/>
      <c r="AD97" s="124"/>
      <c r="AE97" s="271" t="b">
        <v>0</v>
      </c>
      <c r="AF97" s="202"/>
      <c r="AG97" s="202"/>
      <c r="AH97" s="202"/>
      <c r="AI97" s="202"/>
      <c r="AJ97" s="202"/>
      <c r="AK97" s="202"/>
      <c r="AL97" s="202"/>
      <c r="AM97" s="202"/>
      <c r="AN97" s="202"/>
    </row>
    <row r="98" spans="1:40" ht="28.5" customHeight="1" x14ac:dyDescent="0.25">
      <c r="A98" s="32" t="str">
        <f t="shared" si="6"/>
        <v>Não</v>
      </c>
      <c r="B98" s="224">
        <v>90</v>
      </c>
      <c r="C98" s="217">
        <f>IF($L$1=0,0,IF(ISERROR(VLOOKUP($U$11&amp;"-"&amp;B98,'BD Seq Op'!C:H,2,FALSE)),0,VLOOKUP($U$11&amp;"-"&amp;B98,'BD Seq Op'!C:H,2,FALSE)))</f>
        <v>0</v>
      </c>
      <c r="D98" s="218">
        <f>IF($L$1=0,0,IF(ISERROR(VLOOKUP($U$11&amp;"-"&amp;B98,'BD Seq Op'!C:H,5,FALSE)),0,VLOOKUP($U$11&amp;"-"&amp;B98,'BD Seq Op'!C:H,5,FALSE)))</f>
        <v>0</v>
      </c>
      <c r="E98" s="219" t="str">
        <f t="shared" si="5"/>
        <v/>
      </c>
      <c r="F98" s="225"/>
      <c r="G98" s="226"/>
      <c r="H98" s="222" t="str">
        <f t="shared" si="7"/>
        <v/>
      </c>
      <c r="I98" s="223" t="str">
        <f t="shared" si="8"/>
        <v/>
      </c>
      <c r="J98" s="207"/>
      <c r="K98" s="208"/>
      <c r="L98" s="202"/>
      <c r="M98" s="202"/>
      <c r="N98" s="202"/>
      <c r="O98" s="202"/>
      <c r="P98" s="202"/>
      <c r="Q98" s="202"/>
      <c r="T98" s="202"/>
      <c r="U98" s="124"/>
      <c r="V98" s="124"/>
      <c r="W98" s="124"/>
      <c r="X98" s="124"/>
      <c r="Y98" s="124"/>
      <c r="Z98" s="124"/>
      <c r="AA98" s="124"/>
      <c r="AB98" s="124"/>
      <c r="AC98" s="124"/>
      <c r="AD98" s="124"/>
      <c r="AE98" s="271" t="b">
        <v>0</v>
      </c>
      <c r="AF98" s="202"/>
      <c r="AG98" s="202"/>
      <c r="AH98" s="202"/>
      <c r="AI98" s="202"/>
      <c r="AJ98" s="202"/>
      <c r="AK98" s="202"/>
      <c r="AL98" s="202"/>
      <c r="AM98" s="202"/>
      <c r="AN98" s="202"/>
    </row>
    <row r="99" spans="1:40" ht="28.5" customHeight="1" x14ac:dyDescent="0.25">
      <c r="A99" s="32" t="str">
        <f t="shared" si="6"/>
        <v>Não</v>
      </c>
      <c r="B99" s="216">
        <v>91</v>
      </c>
      <c r="C99" s="217">
        <f>IF($L$1=0,0,IF(ISERROR(VLOOKUP($U$11&amp;"-"&amp;B99,'BD Seq Op'!C:H,2,FALSE)),0,VLOOKUP($U$11&amp;"-"&amp;B99,'BD Seq Op'!C:H,2,FALSE)))</f>
        <v>0</v>
      </c>
      <c r="D99" s="218">
        <f>IF($L$1=0,0,IF(ISERROR(VLOOKUP($U$11&amp;"-"&amp;B99,'BD Seq Op'!C:H,5,FALSE)),0,VLOOKUP($U$11&amp;"-"&amp;B99,'BD Seq Op'!C:H,5,FALSE)))</f>
        <v>0</v>
      </c>
      <c r="E99" s="219" t="str">
        <f t="shared" si="5"/>
        <v/>
      </c>
      <c r="F99" s="225"/>
      <c r="G99" s="226"/>
      <c r="H99" s="222" t="str">
        <f t="shared" si="7"/>
        <v/>
      </c>
      <c r="I99" s="223" t="str">
        <f t="shared" si="8"/>
        <v/>
      </c>
      <c r="J99" s="207"/>
      <c r="K99" s="208"/>
      <c r="L99" s="202"/>
      <c r="M99" s="202"/>
      <c r="N99" s="202"/>
      <c r="O99" s="202"/>
      <c r="P99" s="202"/>
      <c r="Q99" s="202"/>
      <c r="T99" s="202"/>
      <c r="U99" s="124"/>
      <c r="V99" s="124"/>
      <c r="W99" s="124"/>
      <c r="X99" s="124"/>
      <c r="Y99" s="124"/>
      <c r="Z99" s="124"/>
      <c r="AA99" s="124"/>
      <c r="AB99" s="124"/>
      <c r="AC99" s="124"/>
      <c r="AD99" s="124"/>
      <c r="AE99" s="271" t="b">
        <v>0</v>
      </c>
      <c r="AF99" s="202"/>
      <c r="AG99" s="202"/>
      <c r="AH99" s="202"/>
      <c r="AI99" s="202"/>
      <c r="AJ99" s="202"/>
      <c r="AK99" s="202"/>
      <c r="AL99" s="202"/>
      <c r="AM99" s="202"/>
      <c r="AN99" s="202"/>
    </row>
    <row r="100" spans="1:40" ht="28.5" customHeight="1" x14ac:dyDescent="0.25">
      <c r="A100" s="32" t="str">
        <f t="shared" si="6"/>
        <v>Não</v>
      </c>
      <c r="B100" s="224">
        <v>92</v>
      </c>
      <c r="C100" s="217">
        <f>IF($L$1=0,0,IF(ISERROR(VLOOKUP($U$11&amp;"-"&amp;B100,'BD Seq Op'!C:H,2,FALSE)),0,VLOOKUP($U$11&amp;"-"&amp;B100,'BD Seq Op'!C:H,2,FALSE)))</f>
        <v>0</v>
      </c>
      <c r="D100" s="218">
        <f>IF($L$1=0,0,IF(ISERROR(VLOOKUP($U$11&amp;"-"&amp;B100,'BD Seq Op'!C:H,5,FALSE)),0,VLOOKUP($U$11&amp;"-"&amp;B100,'BD Seq Op'!C:H,5,FALSE)))</f>
        <v>0</v>
      </c>
      <c r="E100" s="219" t="str">
        <f t="shared" si="5"/>
        <v/>
      </c>
      <c r="F100" s="225"/>
      <c r="G100" s="226"/>
      <c r="H100" s="222" t="str">
        <f t="shared" si="7"/>
        <v/>
      </c>
      <c r="I100" s="223" t="str">
        <f t="shared" si="8"/>
        <v/>
      </c>
      <c r="J100" s="207"/>
      <c r="K100" s="208"/>
      <c r="L100" s="202"/>
      <c r="M100" s="202"/>
      <c r="N100" s="202"/>
      <c r="O100" s="202"/>
      <c r="P100" s="202"/>
      <c r="Q100" s="202"/>
      <c r="T100" s="202"/>
      <c r="U100" s="124"/>
      <c r="V100" s="124"/>
      <c r="W100" s="124"/>
      <c r="X100" s="124"/>
      <c r="Y100" s="124"/>
      <c r="Z100" s="124"/>
      <c r="AA100" s="124"/>
      <c r="AB100" s="124"/>
      <c r="AC100" s="124"/>
      <c r="AD100" s="124"/>
      <c r="AE100" s="271" t="b">
        <v>0</v>
      </c>
      <c r="AF100" s="202"/>
      <c r="AG100" s="202"/>
      <c r="AH100" s="202"/>
      <c r="AI100" s="202"/>
      <c r="AJ100" s="202"/>
      <c r="AK100" s="202"/>
      <c r="AL100" s="202"/>
      <c r="AM100" s="202"/>
      <c r="AN100" s="202"/>
    </row>
    <row r="101" spans="1:40" ht="28.5" customHeight="1" x14ac:dyDescent="0.25">
      <c r="A101" s="32" t="str">
        <f t="shared" si="6"/>
        <v>Não</v>
      </c>
      <c r="B101" s="216">
        <v>93</v>
      </c>
      <c r="C101" s="217">
        <f>IF($L$1=0,0,IF(ISERROR(VLOOKUP($U$11&amp;"-"&amp;B101,'BD Seq Op'!C:H,2,FALSE)),0,VLOOKUP($U$11&amp;"-"&amp;B101,'BD Seq Op'!C:H,2,FALSE)))</f>
        <v>0</v>
      </c>
      <c r="D101" s="218">
        <f>IF($L$1=0,0,IF(ISERROR(VLOOKUP($U$11&amp;"-"&amp;B101,'BD Seq Op'!C:H,5,FALSE)),0,VLOOKUP($U$11&amp;"-"&amp;B101,'BD Seq Op'!C:H,5,FALSE)))</f>
        <v>0</v>
      </c>
      <c r="E101" s="219" t="str">
        <f t="shared" si="5"/>
        <v/>
      </c>
      <c r="F101" s="225"/>
      <c r="G101" s="226"/>
      <c r="H101" s="222" t="str">
        <f t="shared" si="7"/>
        <v/>
      </c>
      <c r="I101" s="223" t="str">
        <f t="shared" si="8"/>
        <v/>
      </c>
      <c r="J101" s="207"/>
      <c r="K101" s="208"/>
      <c r="L101" s="202"/>
      <c r="M101" s="202"/>
      <c r="N101" s="202"/>
      <c r="O101" s="202"/>
      <c r="P101" s="202"/>
      <c r="Q101" s="202"/>
      <c r="T101" s="202"/>
      <c r="U101" s="124"/>
      <c r="V101" s="124"/>
      <c r="W101" s="124"/>
      <c r="X101" s="124"/>
      <c r="Y101" s="124"/>
      <c r="Z101" s="124"/>
      <c r="AA101" s="124"/>
      <c r="AB101" s="124"/>
      <c r="AC101" s="124"/>
      <c r="AD101" s="124"/>
      <c r="AE101" s="271" t="b">
        <v>0</v>
      </c>
      <c r="AF101" s="202"/>
      <c r="AG101" s="202"/>
      <c r="AH101" s="202"/>
      <c r="AI101" s="202"/>
      <c r="AJ101" s="202"/>
      <c r="AK101" s="202"/>
      <c r="AL101" s="202"/>
      <c r="AM101" s="202"/>
      <c r="AN101" s="202"/>
    </row>
    <row r="102" spans="1:40" ht="28.5" customHeight="1" x14ac:dyDescent="0.25">
      <c r="A102" s="32" t="str">
        <f t="shared" si="6"/>
        <v>Não</v>
      </c>
      <c r="B102" s="224">
        <v>94</v>
      </c>
      <c r="C102" s="217">
        <f>IF($L$1=0,0,IF(ISERROR(VLOOKUP($U$11&amp;"-"&amp;B102,'BD Seq Op'!C:H,2,FALSE)),0,VLOOKUP($U$11&amp;"-"&amp;B102,'BD Seq Op'!C:H,2,FALSE)))</f>
        <v>0</v>
      </c>
      <c r="D102" s="218">
        <f>IF($L$1=0,0,IF(ISERROR(VLOOKUP($U$11&amp;"-"&amp;B102,'BD Seq Op'!C:H,5,FALSE)),0,VLOOKUP($U$11&amp;"-"&amp;B102,'BD Seq Op'!C:H,5,FALSE)))</f>
        <v>0</v>
      </c>
      <c r="E102" s="219" t="str">
        <f t="shared" si="5"/>
        <v/>
      </c>
      <c r="F102" s="225"/>
      <c r="G102" s="226"/>
      <c r="H102" s="222" t="str">
        <f t="shared" si="7"/>
        <v/>
      </c>
      <c r="I102" s="223" t="str">
        <f t="shared" si="8"/>
        <v/>
      </c>
      <c r="J102" s="207"/>
      <c r="K102" s="208"/>
      <c r="L102" s="202"/>
      <c r="M102" s="202"/>
      <c r="N102" s="202"/>
      <c r="O102" s="202"/>
      <c r="P102" s="202"/>
      <c r="Q102" s="202"/>
      <c r="T102" s="202"/>
      <c r="U102" s="124"/>
      <c r="V102" s="124"/>
      <c r="W102" s="124"/>
      <c r="X102" s="124"/>
      <c r="Y102" s="124"/>
      <c r="Z102" s="124"/>
      <c r="AA102" s="124"/>
      <c r="AB102" s="124"/>
      <c r="AC102" s="124"/>
      <c r="AD102" s="124"/>
      <c r="AE102" s="271" t="b">
        <v>0</v>
      </c>
      <c r="AF102" s="202"/>
      <c r="AG102" s="202"/>
      <c r="AH102" s="202"/>
      <c r="AI102" s="202"/>
      <c r="AJ102" s="202"/>
      <c r="AK102" s="202"/>
      <c r="AL102" s="202"/>
      <c r="AM102" s="202"/>
      <c r="AN102" s="202"/>
    </row>
    <row r="103" spans="1:40" ht="28.5" customHeight="1" x14ac:dyDescent="0.25">
      <c r="A103" s="32" t="str">
        <f t="shared" si="6"/>
        <v>Não</v>
      </c>
      <c r="B103" s="216">
        <v>95</v>
      </c>
      <c r="C103" s="217">
        <f>IF($L$1=0,0,IF(ISERROR(VLOOKUP($U$11&amp;"-"&amp;B103,'BD Seq Op'!C:H,2,FALSE)),0,VLOOKUP($U$11&amp;"-"&amp;B103,'BD Seq Op'!C:H,2,FALSE)))</f>
        <v>0</v>
      </c>
      <c r="D103" s="218">
        <f>IF($L$1=0,0,IF(ISERROR(VLOOKUP($U$11&amp;"-"&amp;B103,'BD Seq Op'!C:H,5,FALSE)),0,VLOOKUP($U$11&amp;"-"&amp;B103,'BD Seq Op'!C:H,5,FALSE)))</f>
        <v>0</v>
      </c>
      <c r="E103" s="219" t="str">
        <f t="shared" si="5"/>
        <v/>
      </c>
      <c r="F103" s="225"/>
      <c r="G103" s="226"/>
      <c r="H103" s="222" t="str">
        <f t="shared" si="7"/>
        <v/>
      </c>
      <c r="I103" s="223" t="str">
        <f t="shared" si="8"/>
        <v/>
      </c>
      <c r="J103" s="207"/>
      <c r="K103" s="208"/>
      <c r="L103" s="202"/>
      <c r="M103" s="202"/>
      <c r="N103" s="202"/>
      <c r="O103" s="202"/>
      <c r="P103" s="202"/>
      <c r="Q103" s="202"/>
      <c r="T103" s="202"/>
      <c r="U103" s="124"/>
      <c r="V103" s="124"/>
      <c r="W103" s="124"/>
      <c r="X103" s="124"/>
      <c r="Y103" s="124"/>
      <c r="Z103" s="124"/>
      <c r="AA103" s="124"/>
      <c r="AB103" s="124"/>
      <c r="AC103" s="124"/>
      <c r="AD103" s="124"/>
      <c r="AE103" s="271" t="b">
        <v>0</v>
      </c>
      <c r="AF103" s="202"/>
      <c r="AG103" s="202"/>
      <c r="AH103" s="202"/>
      <c r="AI103" s="202"/>
      <c r="AJ103" s="202"/>
      <c r="AK103" s="202"/>
      <c r="AL103" s="202"/>
      <c r="AM103" s="202"/>
      <c r="AN103" s="202"/>
    </row>
    <row r="104" spans="1:40" ht="28.5" customHeight="1" x14ac:dyDescent="0.25">
      <c r="A104" s="32" t="str">
        <f t="shared" si="6"/>
        <v>Não</v>
      </c>
      <c r="B104" s="224">
        <v>96</v>
      </c>
      <c r="C104" s="217">
        <f>IF($L$1=0,0,IF(ISERROR(VLOOKUP($U$11&amp;"-"&amp;B104,'BD Seq Op'!C:H,2,FALSE)),0,VLOOKUP($U$11&amp;"-"&amp;B104,'BD Seq Op'!C:H,2,FALSE)))</f>
        <v>0</v>
      </c>
      <c r="D104" s="218">
        <f>IF($L$1=0,0,IF(ISERROR(VLOOKUP($U$11&amp;"-"&amp;B104,'BD Seq Op'!C:H,5,FALSE)),0,VLOOKUP($U$11&amp;"-"&amp;B104,'BD Seq Op'!C:H,5,FALSE)))</f>
        <v>0</v>
      </c>
      <c r="E104" s="219" t="str">
        <f t="shared" si="5"/>
        <v/>
      </c>
      <c r="F104" s="225"/>
      <c r="G104" s="226"/>
      <c r="H104" s="222" t="str">
        <f t="shared" si="7"/>
        <v/>
      </c>
      <c r="I104" s="223" t="str">
        <f t="shared" si="8"/>
        <v/>
      </c>
      <c r="J104" s="207"/>
      <c r="K104" s="208"/>
      <c r="L104" s="202"/>
      <c r="M104" s="202"/>
      <c r="N104" s="202"/>
      <c r="O104" s="202"/>
      <c r="P104" s="202"/>
      <c r="Q104" s="202"/>
      <c r="T104" s="202"/>
      <c r="U104" s="124"/>
      <c r="V104" s="124"/>
      <c r="W104" s="124"/>
      <c r="X104" s="124"/>
      <c r="Y104" s="124"/>
      <c r="Z104" s="124"/>
      <c r="AA104" s="124"/>
      <c r="AB104" s="124"/>
      <c r="AC104" s="124"/>
      <c r="AD104" s="124"/>
      <c r="AE104" s="271" t="b">
        <v>0</v>
      </c>
      <c r="AF104" s="202"/>
      <c r="AG104" s="202"/>
      <c r="AH104" s="202"/>
      <c r="AI104" s="202"/>
      <c r="AJ104" s="202"/>
      <c r="AK104" s="202"/>
      <c r="AL104" s="202"/>
      <c r="AM104" s="202"/>
      <c r="AN104" s="202"/>
    </row>
    <row r="105" spans="1:40" ht="28.5" customHeight="1" x14ac:dyDescent="0.25">
      <c r="A105" s="32" t="str">
        <f t="shared" si="6"/>
        <v>Não</v>
      </c>
      <c r="B105" s="216">
        <v>97</v>
      </c>
      <c r="C105" s="217">
        <f>IF($L$1=0,0,IF(ISERROR(VLOOKUP($U$11&amp;"-"&amp;B105,'BD Seq Op'!C:H,2,FALSE)),0,VLOOKUP($U$11&amp;"-"&amp;B105,'BD Seq Op'!C:H,2,FALSE)))</f>
        <v>0</v>
      </c>
      <c r="D105" s="218">
        <f>IF($L$1=0,0,IF(ISERROR(VLOOKUP($U$11&amp;"-"&amp;B105,'BD Seq Op'!C:H,5,FALSE)),0,VLOOKUP($U$11&amp;"-"&amp;B105,'BD Seq Op'!C:H,5,FALSE)))</f>
        <v>0</v>
      </c>
      <c r="E105" s="219" t="str">
        <f t="shared" ref="E105:E128" si="9">IF(C105=0,"",IF($U$1=TRUE,(60*$L$5)/D105,60/D105))</f>
        <v/>
      </c>
      <c r="F105" s="225"/>
      <c r="G105" s="226"/>
      <c r="H105" s="222" t="str">
        <f t="shared" si="7"/>
        <v/>
      </c>
      <c r="I105" s="223" t="str">
        <f t="shared" si="8"/>
        <v/>
      </c>
      <c r="J105" s="207"/>
      <c r="K105" s="208"/>
      <c r="L105" s="202"/>
      <c r="M105" s="202"/>
      <c r="N105" s="202"/>
      <c r="O105" s="202"/>
      <c r="P105" s="202"/>
      <c r="Q105" s="202"/>
      <c r="T105" s="202"/>
      <c r="U105" s="124"/>
      <c r="V105" s="124"/>
      <c r="W105" s="124"/>
      <c r="X105" s="124"/>
      <c r="Y105" s="124"/>
      <c r="Z105" s="124"/>
      <c r="AA105" s="124"/>
      <c r="AB105" s="124"/>
      <c r="AC105" s="124"/>
      <c r="AD105" s="124"/>
      <c r="AE105" s="271" t="b">
        <v>0</v>
      </c>
      <c r="AF105" s="202"/>
      <c r="AG105" s="202"/>
      <c r="AH105" s="202"/>
      <c r="AI105" s="202"/>
      <c r="AJ105" s="202"/>
      <c r="AK105" s="202"/>
      <c r="AL105" s="202"/>
      <c r="AM105" s="202"/>
      <c r="AN105" s="202"/>
    </row>
    <row r="106" spans="1:40" ht="28.5" customHeight="1" x14ac:dyDescent="0.25">
      <c r="A106" s="32" t="str">
        <f t="shared" si="6"/>
        <v>Não</v>
      </c>
      <c r="B106" s="224">
        <v>98</v>
      </c>
      <c r="C106" s="217">
        <f>IF($L$1=0,0,IF(ISERROR(VLOOKUP($U$11&amp;"-"&amp;B106,'BD Seq Op'!C:H,2,FALSE)),0,VLOOKUP($U$11&amp;"-"&amp;B106,'BD Seq Op'!C:H,2,FALSE)))</f>
        <v>0</v>
      </c>
      <c r="D106" s="218">
        <f>IF($L$1=0,0,IF(ISERROR(VLOOKUP($U$11&amp;"-"&amp;B106,'BD Seq Op'!C:H,5,FALSE)),0,VLOOKUP($U$11&amp;"-"&amp;B106,'BD Seq Op'!C:H,5,FALSE)))</f>
        <v>0</v>
      </c>
      <c r="E106" s="219" t="str">
        <f t="shared" si="9"/>
        <v/>
      </c>
      <c r="F106" s="225"/>
      <c r="G106" s="226"/>
      <c r="H106" s="222" t="str">
        <f t="shared" si="7"/>
        <v/>
      </c>
      <c r="I106" s="223" t="str">
        <f t="shared" si="8"/>
        <v/>
      </c>
      <c r="J106" s="207"/>
      <c r="K106" s="208"/>
      <c r="L106" s="202"/>
      <c r="M106" s="202"/>
      <c r="N106" s="202"/>
      <c r="O106" s="202"/>
      <c r="P106" s="202"/>
      <c r="Q106" s="202"/>
      <c r="T106" s="202"/>
      <c r="U106" s="124"/>
      <c r="V106" s="124"/>
      <c r="W106" s="124"/>
      <c r="X106" s="124"/>
      <c r="Y106" s="124"/>
      <c r="Z106" s="124"/>
      <c r="AA106" s="124"/>
      <c r="AB106" s="124"/>
      <c r="AC106" s="124"/>
      <c r="AD106" s="124"/>
      <c r="AE106" s="271" t="b">
        <v>0</v>
      </c>
      <c r="AF106" s="202"/>
      <c r="AG106" s="202"/>
      <c r="AH106" s="202"/>
      <c r="AI106" s="202"/>
      <c r="AJ106" s="202"/>
      <c r="AK106" s="202"/>
      <c r="AL106" s="202"/>
      <c r="AM106" s="202"/>
      <c r="AN106" s="202"/>
    </row>
    <row r="107" spans="1:40" ht="28.5" customHeight="1" x14ac:dyDescent="0.25">
      <c r="A107" s="32" t="str">
        <f t="shared" si="6"/>
        <v>Não</v>
      </c>
      <c r="B107" s="216">
        <v>99</v>
      </c>
      <c r="C107" s="217">
        <f>IF($L$1=0,0,IF(ISERROR(VLOOKUP($U$11&amp;"-"&amp;B107,'BD Seq Op'!C:H,2,FALSE)),0,VLOOKUP($U$11&amp;"-"&amp;B107,'BD Seq Op'!C:H,2,FALSE)))</f>
        <v>0</v>
      </c>
      <c r="D107" s="218">
        <f>IF($L$1=0,0,IF(ISERROR(VLOOKUP($U$11&amp;"-"&amp;B107,'BD Seq Op'!C:H,5,FALSE)),0,VLOOKUP($U$11&amp;"-"&amp;B107,'BD Seq Op'!C:H,5,FALSE)))</f>
        <v>0</v>
      </c>
      <c r="E107" s="219" t="str">
        <f t="shared" si="9"/>
        <v/>
      </c>
      <c r="F107" s="225"/>
      <c r="G107" s="226"/>
      <c r="H107" s="222" t="str">
        <f t="shared" si="7"/>
        <v/>
      </c>
      <c r="I107" s="223" t="str">
        <f t="shared" si="8"/>
        <v/>
      </c>
      <c r="J107" s="207"/>
      <c r="K107" s="208"/>
      <c r="L107" s="202"/>
      <c r="M107" s="202"/>
      <c r="N107" s="202"/>
      <c r="O107" s="202"/>
      <c r="P107" s="202"/>
      <c r="Q107" s="202"/>
      <c r="T107" s="202"/>
      <c r="U107" s="124"/>
      <c r="V107" s="124"/>
      <c r="W107" s="124"/>
      <c r="X107" s="124"/>
      <c r="Y107" s="124"/>
      <c r="Z107" s="124"/>
      <c r="AA107" s="124"/>
      <c r="AB107" s="124"/>
      <c r="AC107" s="124"/>
      <c r="AD107" s="124"/>
      <c r="AE107" s="271" t="b">
        <v>0</v>
      </c>
      <c r="AF107" s="202"/>
      <c r="AG107" s="202"/>
      <c r="AH107" s="202"/>
      <c r="AI107" s="202"/>
      <c r="AJ107" s="202"/>
      <c r="AK107" s="202"/>
      <c r="AL107" s="202"/>
      <c r="AM107" s="202"/>
      <c r="AN107" s="202"/>
    </row>
    <row r="108" spans="1:40" ht="28.5" customHeight="1" x14ac:dyDescent="0.25">
      <c r="A108" s="32" t="str">
        <f t="shared" si="6"/>
        <v>Não</v>
      </c>
      <c r="B108" s="224">
        <v>100</v>
      </c>
      <c r="C108" s="217">
        <f>IF($L$1=0,0,IF(ISERROR(VLOOKUP($U$11&amp;"-"&amp;B108,'BD Seq Op'!C:H,2,FALSE)),0,VLOOKUP($U$11&amp;"-"&amp;B108,'BD Seq Op'!C:H,2,FALSE)))</f>
        <v>0</v>
      </c>
      <c r="D108" s="218">
        <f>IF($L$1=0,0,IF(ISERROR(VLOOKUP($U$11&amp;"-"&amp;B108,'BD Seq Op'!C:H,5,FALSE)),0,VLOOKUP($U$11&amp;"-"&amp;B108,'BD Seq Op'!C:H,5,FALSE)))</f>
        <v>0</v>
      </c>
      <c r="E108" s="219" t="str">
        <f t="shared" si="9"/>
        <v/>
      </c>
      <c r="F108" s="225"/>
      <c r="G108" s="226"/>
      <c r="H108" s="222" t="str">
        <f t="shared" si="7"/>
        <v/>
      </c>
      <c r="I108" s="223" t="str">
        <f t="shared" si="8"/>
        <v/>
      </c>
      <c r="J108" s="207"/>
      <c r="K108" s="208"/>
      <c r="L108" s="202"/>
      <c r="M108" s="202"/>
      <c r="N108" s="202"/>
      <c r="O108" s="202"/>
      <c r="P108" s="202"/>
      <c r="Q108" s="202"/>
      <c r="T108" s="202"/>
      <c r="U108" s="124"/>
      <c r="V108" s="124"/>
      <c r="W108" s="124"/>
      <c r="X108" s="124"/>
      <c r="Y108" s="124"/>
      <c r="Z108" s="124"/>
      <c r="AA108" s="124"/>
      <c r="AB108" s="124"/>
      <c r="AC108" s="124"/>
      <c r="AD108" s="124"/>
      <c r="AE108" s="271" t="b">
        <v>0</v>
      </c>
      <c r="AF108" s="202"/>
      <c r="AG108" s="202"/>
      <c r="AH108" s="202"/>
      <c r="AI108" s="202"/>
      <c r="AJ108" s="202"/>
      <c r="AK108" s="202"/>
      <c r="AL108" s="202"/>
      <c r="AM108" s="202"/>
      <c r="AN108" s="202"/>
    </row>
    <row r="109" spans="1:40" ht="28.5" customHeight="1" x14ac:dyDescent="0.25">
      <c r="A109" s="32" t="str">
        <f t="shared" si="6"/>
        <v>Não</v>
      </c>
      <c r="B109" s="216">
        <v>101</v>
      </c>
      <c r="C109" s="217">
        <f>IF($L$1=0,0,IF(ISERROR(VLOOKUP($U$11&amp;"-"&amp;B109,'BD Seq Op'!C:H,2,FALSE)),0,VLOOKUP($U$11&amp;"-"&amp;B109,'BD Seq Op'!C:H,2,FALSE)))</f>
        <v>0</v>
      </c>
      <c r="D109" s="218">
        <f>IF($L$1=0,0,IF(ISERROR(VLOOKUP($U$11&amp;"-"&amp;B109,'BD Seq Op'!C:H,5,FALSE)),0,VLOOKUP($U$11&amp;"-"&amp;B109,'BD Seq Op'!C:H,5,FALSE)))</f>
        <v>0</v>
      </c>
      <c r="E109" s="219" t="str">
        <f t="shared" si="9"/>
        <v/>
      </c>
      <c r="F109" s="225"/>
      <c r="G109" s="226"/>
      <c r="H109" s="222" t="str">
        <f t="shared" si="7"/>
        <v/>
      </c>
      <c r="I109" s="223" t="str">
        <f t="shared" si="8"/>
        <v/>
      </c>
      <c r="J109" s="207"/>
      <c r="K109" s="208"/>
      <c r="L109" s="202"/>
      <c r="M109" s="202"/>
      <c r="N109" s="202"/>
      <c r="O109" s="202"/>
      <c r="P109" s="202"/>
      <c r="Q109" s="202"/>
      <c r="T109" s="202"/>
      <c r="U109" s="124"/>
      <c r="V109" s="124"/>
      <c r="W109" s="124"/>
      <c r="X109" s="124"/>
      <c r="Y109" s="124"/>
      <c r="Z109" s="124"/>
      <c r="AA109" s="124"/>
      <c r="AB109" s="124"/>
      <c r="AC109" s="124"/>
      <c r="AD109" s="124"/>
      <c r="AE109" s="271" t="b">
        <v>0</v>
      </c>
      <c r="AF109" s="202"/>
      <c r="AG109" s="202"/>
      <c r="AH109" s="202"/>
      <c r="AI109" s="202"/>
      <c r="AJ109" s="202"/>
      <c r="AK109" s="202"/>
      <c r="AL109" s="202"/>
      <c r="AM109" s="202"/>
      <c r="AN109" s="202"/>
    </row>
    <row r="110" spans="1:40" ht="28.5" customHeight="1" x14ac:dyDescent="0.25">
      <c r="A110" s="32" t="str">
        <f t="shared" si="6"/>
        <v>Não</v>
      </c>
      <c r="B110" s="224">
        <v>102</v>
      </c>
      <c r="C110" s="217">
        <f>IF($L$1=0,0,IF(ISERROR(VLOOKUP($U$11&amp;"-"&amp;B110,'BD Seq Op'!C:H,2,FALSE)),0,VLOOKUP($U$11&amp;"-"&amp;B110,'BD Seq Op'!C:H,2,FALSE)))</f>
        <v>0</v>
      </c>
      <c r="D110" s="218">
        <f>IF($L$1=0,0,IF(ISERROR(VLOOKUP($U$11&amp;"-"&amp;B110,'BD Seq Op'!C:H,5,FALSE)),0,VLOOKUP($U$11&amp;"-"&amp;B110,'BD Seq Op'!C:H,5,FALSE)))</f>
        <v>0</v>
      </c>
      <c r="E110" s="219" t="str">
        <f t="shared" si="9"/>
        <v/>
      </c>
      <c r="F110" s="225"/>
      <c r="G110" s="226"/>
      <c r="H110" s="222" t="str">
        <f t="shared" si="7"/>
        <v/>
      </c>
      <c r="I110" s="223" t="str">
        <f t="shared" si="8"/>
        <v/>
      </c>
      <c r="J110" s="207"/>
      <c r="K110" s="208"/>
      <c r="L110" s="202"/>
      <c r="M110" s="202"/>
      <c r="N110" s="202"/>
      <c r="O110" s="202"/>
      <c r="P110" s="202"/>
      <c r="Q110" s="202"/>
      <c r="T110" s="202"/>
      <c r="U110" s="124"/>
      <c r="V110" s="124"/>
      <c r="W110" s="124"/>
      <c r="X110" s="124"/>
      <c r="Y110" s="124"/>
      <c r="Z110" s="124"/>
      <c r="AA110" s="124"/>
      <c r="AB110" s="124"/>
      <c r="AC110" s="124"/>
      <c r="AD110" s="124"/>
      <c r="AE110" s="271" t="b">
        <v>0</v>
      </c>
      <c r="AF110" s="202"/>
      <c r="AG110" s="202"/>
      <c r="AH110" s="202"/>
      <c r="AI110" s="202"/>
      <c r="AJ110" s="202"/>
      <c r="AK110" s="202"/>
      <c r="AL110" s="202"/>
      <c r="AM110" s="202"/>
      <c r="AN110" s="202"/>
    </row>
    <row r="111" spans="1:40" ht="28.5" customHeight="1" x14ac:dyDescent="0.25">
      <c r="A111" s="32" t="str">
        <f t="shared" si="6"/>
        <v>Não</v>
      </c>
      <c r="B111" s="216">
        <v>103</v>
      </c>
      <c r="C111" s="217">
        <f>IF($L$1=0,0,IF(ISERROR(VLOOKUP($U$11&amp;"-"&amp;B111,'BD Seq Op'!C:H,2,FALSE)),0,VLOOKUP($U$11&amp;"-"&amp;B111,'BD Seq Op'!C:H,2,FALSE)))</f>
        <v>0</v>
      </c>
      <c r="D111" s="218">
        <f>IF($L$1=0,0,IF(ISERROR(VLOOKUP($U$11&amp;"-"&amp;B111,'BD Seq Op'!C:H,5,FALSE)),0,VLOOKUP($U$11&amp;"-"&amp;B111,'BD Seq Op'!C:H,5,FALSE)))</f>
        <v>0</v>
      </c>
      <c r="E111" s="219" t="str">
        <f t="shared" si="9"/>
        <v/>
      </c>
      <c r="F111" s="225"/>
      <c r="G111" s="226"/>
      <c r="H111" s="222" t="str">
        <f t="shared" si="7"/>
        <v/>
      </c>
      <c r="I111" s="223" t="str">
        <f t="shared" si="8"/>
        <v/>
      </c>
      <c r="J111" s="207"/>
      <c r="K111" s="208"/>
      <c r="L111" s="202"/>
      <c r="M111" s="202"/>
      <c r="N111" s="202"/>
      <c r="O111" s="202"/>
      <c r="P111" s="202"/>
      <c r="Q111" s="202"/>
      <c r="T111" s="202"/>
      <c r="U111" s="124"/>
      <c r="V111" s="124"/>
      <c r="W111" s="124"/>
      <c r="X111" s="124"/>
      <c r="Y111" s="124"/>
      <c r="Z111" s="124"/>
      <c r="AA111" s="124"/>
      <c r="AB111" s="124"/>
      <c r="AC111" s="124"/>
      <c r="AD111" s="124"/>
      <c r="AE111" s="271" t="b">
        <v>0</v>
      </c>
      <c r="AF111" s="202"/>
      <c r="AG111" s="202"/>
      <c r="AH111" s="202"/>
      <c r="AI111" s="202"/>
      <c r="AJ111" s="202"/>
      <c r="AK111" s="202"/>
      <c r="AL111" s="202"/>
      <c r="AM111" s="202"/>
      <c r="AN111" s="202"/>
    </row>
    <row r="112" spans="1:40" ht="28.5" customHeight="1" x14ac:dyDescent="0.25">
      <c r="A112" s="32" t="str">
        <f t="shared" si="6"/>
        <v>Não</v>
      </c>
      <c r="B112" s="224">
        <v>104</v>
      </c>
      <c r="C112" s="217">
        <f>IF($L$1=0,0,IF(ISERROR(VLOOKUP($U$11&amp;"-"&amp;B112,'BD Seq Op'!C:H,2,FALSE)),0,VLOOKUP($U$11&amp;"-"&amp;B112,'BD Seq Op'!C:H,2,FALSE)))</f>
        <v>0</v>
      </c>
      <c r="D112" s="218">
        <f>IF($L$1=0,0,IF(ISERROR(VLOOKUP($U$11&amp;"-"&amp;B112,'BD Seq Op'!C:H,5,FALSE)),0,VLOOKUP($U$11&amp;"-"&amp;B112,'BD Seq Op'!C:H,5,FALSE)))</f>
        <v>0</v>
      </c>
      <c r="E112" s="219" t="str">
        <f t="shared" si="9"/>
        <v/>
      </c>
      <c r="F112" s="225"/>
      <c r="G112" s="226"/>
      <c r="H112" s="222" t="str">
        <f t="shared" si="7"/>
        <v/>
      </c>
      <c r="I112" s="223" t="str">
        <f t="shared" si="8"/>
        <v/>
      </c>
      <c r="J112" s="207"/>
      <c r="K112" s="208"/>
      <c r="L112" s="202"/>
      <c r="M112" s="202"/>
      <c r="N112" s="202"/>
      <c r="O112" s="202"/>
      <c r="P112" s="202"/>
      <c r="Q112" s="202"/>
      <c r="T112" s="202"/>
      <c r="U112" s="124"/>
      <c r="V112" s="124"/>
      <c r="W112" s="124"/>
      <c r="X112" s="124"/>
      <c r="Y112" s="124"/>
      <c r="Z112" s="124"/>
      <c r="AA112" s="124"/>
      <c r="AB112" s="124"/>
      <c r="AC112" s="124"/>
      <c r="AD112" s="124"/>
      <c r="AE112" s="271" t="b">
        <v>0</v>
      </c>
      <c r="AF112" s="202"/>
      <c r="AG112" s="202"/>
      <c r="AH112" s="202"/>
      <c r="AI112" s="202"/>
      <c r="AJ112" s="202"/>
      <c r="AK112" s="202"/>
      <c r="AL112" s="202"/>
      <c r="AM112" s="202"/>
      <c r="AN112" s="202"/>
    </row>
    <row r="113" spans="1:40" ht="28.5" customHeight="1" x14ac:dyDescent="0.25">
      <c r="A113" s="32" t="str">
        <f t="shared" si="6"/>
        <v>Não</v>
      </c>
      <c r="B113" s="216">
        <v>105</v>
      </c>
      <c r="C113" s="217">
        <f>IF($L$1=0,0,IF(ISERROR(VLOOKUP($U$11&amp;"-"&amp;B113,'BD Seq Op'!C:H,2,FALSE)),0,VLOOKUP($U$11&amp;"-"&amp;B113,'BD Seq Op'!C:H,2,FALSE)))</f>
        <v>0</v>
      </c>
      <c r="D113" s="218">
        <f>IF($L$1=0,0,IF(ISERROR(VLOOKUP($U$11&amp;"-"&amp;B113,'BD Seq Op'!C:H,5,FALSE)),0,VLOOKUP($U$11&amp;"-"&amp;B113,'BD Seq Op'!C:H,5,FALSE)))</f>
        <v>0</v>
      </c>
      <c r="E113" s="219" t="str">
        <f t="shared" si="9"/>
        <v/>
      </c>
      <c r="F113" s="225"/>
      <c r="G113" s="226"/>
      <c r="H113" s="222" t="str">
        <f t="shared" si="7"/>
        <v/>
      </c>
      <c r="I113" s="223" t="str">
        <f t="shared" si="8"/>
        <v/>
      </c>
      <c r="J113" s="207"/>
      <c r="K113" s="208"/>
      <c r="L113" s="202"/>
      <c r="M113" s="202"/>
      <c r="N113" s="202"/>
      <c r="O113" s="202"/>
      <c r="P113" s="202"/>
      <c r="Q113" s="202"/>
      <c r="T113" s="202"/>
      <c r="U113" s="124"/>
      <c r="V113" s="124"/>
      <c r="W113" s="124"/>
      <c r="X113" s="124"/>
      <c r="Y113" s="124"/>
      <c r="Z113" s="124"/>
      <c r="AA113" s="124"/>
      <c r="AB113" s="124"/>
      <c r="AC113" s="124"/>
      <c r="AD113" s="124"/>
      <c r="AE113" s="271" t="b">
        <v>0</v>
      </c>
      <c r="AF113" s="202"/>
      <c r="AG113" s="202"/>
      <c r="AH113" s="202"/>
      <c r="AI113" s="202"/>
      <c r="AJ113" s="202"/>
      <c r="AK113" s="202"/>
      <c r="AL113" s="202"/>
      <c r="AM113" s="202"/>
      <c r="AN113" s="202"/>
    </row>
    <row r="114" spans="1:40" ht="28.5" customHeight="1" x14ac:dyDescent="0.25">
      <c r="A114" s="32" t="str">
        <f t="shared" si="6"/>
        <v>Não</v>
      </c>
      <c r="B114" s="224">
        <v>106</v>
      </c>
      <c r="C114" s="217">
        <f>IF($L$1=0,0,IF(ISERROR(VLOOKUP($U$11&amp;"-"&amp;B114,'BD Seq Op'!C:H,2,FALSE)),0,VLOOKUP($U$11&amp;"-"&amp;B114,'BD Seq Op'!C:H,2,FALSE)))</f>
        <v>0</v>
      </c>
      <c r="D114" s="218">
        <f>IF($L$1=0,0,IF(ISERROR(VLOOKUP($U$11&amp;"-"&amp;B114,'BD Seq Op'!C:H,5,FALSE)),0,VLOOKUP($U$11&amp;"-"&amp;B114,'BD Seq Op'!C:H,5,FALSE)))</f>
        <v>0</v>
      </c>
      <c r="E114" s="219" t="str">
        <f t="shared" si="9"/>
        <v/>
      </c>
      <c r="F114" s="225"/>
      <c r="G114" s="226"/>
      <c r="H114" s="222" t="str">
        <f t="shared" si="7"/>
        <v/>
      </c>
      <c r="I114" s="223" t="str">
        <f t="shared" si="8"/>
        <v/>
      </c>
      <c r="J114" s="207"/>
      <c r="K114" s="208"/>
      <c r="L114" s="202"/>
      <c r="M114" s="202"/>
      <c r="N114" s="202"/>
      <c r="O114" s="202"/>
      <c r="P114" s="202"/>
      <c r="Q114" s="202"/>
      <c r="T114" s="202"/>
      <c r="U114" s="124"/>
      <c r="V114" s="124"/>
      <c r="W114" s="124"/>
      <c r="X114" s="124"/>
      <c r="Y114" s="124"/>
      <c r="Z114" s="124"/>
      <c r="AA114" s="124"/>
      <c r="AB114" s="124"/>
      <c r="AC114" s="124"/>
      <c r="AD114" s="124"/>
      <c r="AE114" s="271" t="b">
        <v>0</v>
      </c>
      <c r="AF114" s="202"/>
      <c r="AG114" s="202"/>
      <c r="AH114" s="202"/>
      <c r="AI114" s="202"/>
      <c r="AJ114" s="202"/>
      <c r="AK114" s="202"/>
      <c r="AL114" s="202"/>
      <c r="AM114" s="202"/>
      <c r="AN114" s="202"/>
    </row>
    <row r="115" spans="1:40" ht="28.5" customHeight="1" x14ac:dyDescent="0.25">
      <c r="A115" s="32" t="str">
        <f t="shared" si="6"/>
        <v>Não</v>
      </c>
      <c r="B115" s="216">
        <v>107</v>
      </c>
      <c r="C115" s="217">
        <f>IF($L$1=0,0,IF(ISERROR(VLOOKUP($U$11&amp;"-"&amp;B115,'BD Seq Op'!C:H,2,FALSE)),0,VLOOKUP($U$11&amp;"-"&amp;B115,'BD Seq Op'!C:H,2,FALSE)))</f>
        <v>0</v>
      </c>
      <c r="D115" s="218">
        <f>IF($L$1=0,0,IF(ISERROR(VLOOKUP($U$11&amp;"-"&amp;B115,'BD Seq Op'!C:H,5,FALSE)),0,VLOOKUP($U$11&amp;"-"&amp;B115,'BD Seq Op'!C:H,5,FALSE)))</f>
        <v>0</v>
      </c>
      <c r="E115" s="219" t="str">
        <f t="shared" si="9"/>
        <v/>
      </c>
      <c r="F115" s="225"/>
      <c r="G115" s="226"/>
      <c r="H115" s="222" t="str">
        <f t="shared" si="7"/>
        <v/>
      </c>
      <c r="I115" s="223" t="str">
        <f t="shared" si="8"/>
        <v/>
      </c>
      <c r="J115" s="207"/>
      <c r="K115" s="208"/>
      <c r="L115" s="202"/>
      <c r="M115" s="202"/>
      <c r="N115" s="202"/>
      <c r="O115" s="202"/>
      <c r="P115" s="202"/>
      <c r="Q115" s="202"/>
      <c r="T115" s="202"/>
      <c r="U115" s="124"/>
      <c r="V115" s="124"/>
      <c r="W115" s="124"/>
      <c r="X115" s="124"/>
      <c r="Y115" s="124"/>
      <c r="Z115" s="124"/>
      <c r="AA115" s="124"/>
      <c r="AB115" s="124"/>
      <c r="AC115" s="124"/>
      <c r="AD115" s="124"/>
      <c r="AE115" s="271" t="b">
        <v>0</v>
      </c>
      <c r="AF115" s="202"/>
      <c r="AG115" s="202"/>
      <c r="AH115" s="202"/>
      <c r="AI115" s="202"/>
      <c r="AJ115" s="202"/>
      <c r="AK115" s="202"/>
      <c r="AL115" s="202"/>
      <c r="AM115" s="202"/>
      <c r="AN115" s="202"/>
    </row>
    <row r="116" spans="1:40" ht="28.5" customHeight="1" x14ac:dyDescent="0.25">
      <c r="A116" s="32" t="str">
        <f t="shared" si="6"/>
        <v>Não</v>
      </c>
      <c r="B116" s="224">
        <v>108</v>
      </c>
      <c r="C116" s="217">
        <f>IF($L$1=0,0,IF(ISERROR(VLOOKUP($U$11&amp;"-"&amp;B116,'BD Seq Op'!C:H,2,FALSE)),0,VLOOKUP($U$11&amp;"-"&amp;B116,'BD Seq Op'!C:H,2,FALSE)))</f>
        <v>0</v>
      </c>
      <c r="D116" s="218">
        <f>IF($L$1=0,0,IF(ISERROR(VLOOKUP($U$11&amp;"-"&amp;B116,'BD Seq Op'!C:H,5,FALSE)),0,VLOOKUP($U$11&amp;"-"&amp;B116,'BD Seq Op'!C:H,5,FALSE)))</f>
        <v>0</v>
      </c>
      <c r="E116" s="219" t="str">
        <f t="shared" si="9"/>
        <v/>
      </c>
      <c r="F116" s="225"/>
      <c r="G116" s="226"/>
      <c r="H116" s="222" t="str">
        <f t="shared" si="7"/>
        <v/>
      </c>
      <c r="I116" s="223" t="str">
        <f t="shared" si="8"/>
        <v/>
      </c>
      <c r="J116" s="207"/>
      <c r="K116" s="208"/>
      <c r="L116" s="202"/>
      <c r="M116" s="202"/>
      <c r="N116" s="202"/>
      <c r="O116" s="202"/>
      <c r="P116" s="202"/>
      <c r="Q116" s="202"/>
      <c r="T116" s="202"/>
      <c r="U116" s="124"/>
      <c r="V116" s="124"/>
      <c r="W116" s="124"/>
      <c r="X116" s="124"/>
      <c r="Y116" s="124"/>
      <c r="Z116" s="124"/>
      <c r="AA116" s="124"/>
      <c r="AB116" s="124"/>
      <c r="AC116" s="124"/>
      <c r="AD116" s="124"/>
      <c r="AE116" s="271" t="b">
        <v>0</v>
      </c>
      <c r="AF116" s="202"/>
      <c r="AG116" s="202"/>
      <c r="AH116" s="202"/>
      <c r="AI116" s="202"/>
      <c r="AJ116" s="202"/>
      <c r="AK116" s="202"/>
      <c r="AL116" s="202"/>
      <c r="AM116" s="202"/>
      <c r="AN116" s="202"/>
    </row>
    <row r="117" spans="1:40" ht="28.5" customHeight="1" x14ac:dyDescent="0.25">
      <c r="A117" s="32" t="str">
        <f t="shared" si="6"/>
        <v>Não</v>
      </c>
      <c r="B117" s="216">
        <v>109</v>
      </c>
      <c r="C117" s="217">
        <f>IF($L$1=0,0,IF(ISERROR(VLOOKUP($U$11&amp;"-"&amp;B117,'BD Seq Op'!C:H,2,FALSE)),0,VLOOKUP($U$11&amp;"-"&amp;B117,'BD Seq Op'!C:H,2,FALSE)))</f>
        <v>0</v>
      </c>
      <c r="D117" s="218">
        <f>IF($L$1=0,0,IF(ISERROR(VLOOKUP($U$11&amp;"-"&amp;B117,'BD Seq Op'!C:H,5,FALSE)),0,VLOOKUP($U$11&amp;"-"&amp;B117,'BD Seq Op'!C:H,5,FALSE)))</f>
        <v>0</v>
      </c>
      <c r="E117" s="219" t="str">
        <f t="shared" si="9"/>
        <v/>
      </c>
      <c r="F117" s="225"/>
      <c r="G117" s="226"/>
      <c r="H117" s="222" t="str">
        <f t="shared" si="7"/>
        <v/>
      </c>
      <c r="I117" s="223" t="str">
        <f t="shared" si="8"/>
        <v/>
      </c>
      <c r="J117" s="207"/>
      <c r="K117" s="208"/>
      <c r="L117" s="202"/>
      <c r="M117" s="202"/>
      <c r="N117" s="202"/>
      <c r="O117" s="202"/>
      <c r="P117" s="202"/>
      <c r="Q117" s="202"/>
      <c r="T117" s="202"/>
      <c r="U117" s="124"/>
      <c r="V117" s="124"/>
      <c r="W117" s="124"/>
      <c r="X117" s="124"/>
      <c r="Y117" s="124"/>
      <c r="Z117" s="124"/>
      <c r="AA117" s="124"/>
      <c r="AB117" s="124"/>
      <c r="AC117" s="124"/>
      <c r="AD117" s="124"/>
      <c r="AE117" s="271" t="b">
        <v>0</v>
      </c>
      <c r="AF117" s="202"/>
      <c r="AG117" s="202"/>
      <c r="AH117" s="202"/>
      <c r="AI117" s="202"/>
      <c r="AJ117" s="202"/>
      <c r="AK117" s="202"/>
      <c r="AL117" s="202"/>
      <c r="AM117" s="202"/>
      <c r="AN117" s="202"/>
    </row>
    <row r="118" spans="1:40" ht="28.5" customHeight="1" x14ac:dyDescent="0.25">
      <c r="A118" s="32" t="str">
        <f t="shared" si="6"/>
        <v>Não</v>
      </c>
      <c r="B118" s="224">
        <v>110</v>
      </c>
      <c r="C118" s="217">
        <f>IF($L$1=0,0,IF(ISERROR(VLOOKUP($U$11&amp;"-"&amp;B118,'BD Seq Op'!C:H,2,FALSE)),0,VLOOKUP($U$11&amp;"-"&amp;B118,'BD Seq Op'!C:H,2,FALSE)))</f>
        <v>0</v>
      </c>
      <c r="D118" s="218">
        <f>IF($L$1=0,0,IF(ISERROR(VLOOKUP($U$11&amp;"-"&amp;B118,'BD Seq Op'!C:H,5,FALSE)),0,VLOOKUP($U$11&amp;"-"&amp;B118,'BD Seq Op'!C:H,5,FALSE)))</f>
        <v>0</v>
      </c>
      <c r="E118" s="219" t="str">
        <f t="shared" si="9"/>
        <v/>
      </c>
      <c r="F118" s="225"/>
      <c r="G118" s="226"/>
      <c r="H118" s="222" t="str">
        <f t="shared" si="7"/>
        <v/>
      </c>
      <c r="I118" s="223" t="str">
        <f t="shared" si="8"/>
        <v/>
      </c>
      <c r="J118" s="207"/>
      <c r="K118" s="208"/>
      <c r="L118" s="202"/>
      <c r="M118" s="202"/>
      <c r="N118" s="202"/>
      <c r="O118" s="202"/>
      <c r="P118" s="202"/>
      <c r="Q118" s="202"/>
      <c r="T118" s="202"/>
      <c r="U118" s="124"/>
      <c r="V118" s="124"/>
      <c r="W118" s="124"/>
      <c r="X118" s="124"/>
      <c r="Y118" s="124"/>
      <c r="Z118" s="124"/>
      <c r="AA118" s="124"/>
      <c r="AB118" s="124"/>
      <c r="AC118" s="124"/>
      <c r="AD118" s="124"/>
      <c r="AE118" s="271" t="b">
        <v>0</v>
      </c>
      <c r="AF118" s="202"/>
      <c r="AG118" s="202"/>
      <c r="AH118" s="202"/>
      <c r="AI118" s="202"/>
      <c r="AJ118" s="202"/>
      <c r="AK118" s="202"/>
      <c r="AL118" s="202"/>
      <c r="AM118" s="202"/>
      <c r="AN118" s="202"/>
    </row>
    <row r="119" spans="1:40" ht="28.5" customHeight="1" x14ac:dyDescent="0.25">
      <c r="A119" s="32" t="str">
        <f t="shared" si="6"/>
        <v>Não</v>
      </c>
      <c r="B119" s="216">
        <v>111</v>
      </c>
      <c r="C119" s="217">
        <f>IF($L$1=0,0,IF(ISERROR(VLOOKUP($U$11&amp;"-"&amp;B119,'BD Seq Op'!C:H,2,FALSE)),0,VLOOKUP($U$11&amp;"-"&amp;B119,'BD Seq Op'!C:H,2,FALSE)))</f>
        <v>0</v>
      </c>
      <c r="D119" s="218">
        <f>IF($L$1=0,0,IF(ISERROR(VLOOKUP($U$11&amp;"-"&amp;B119,'BD Seq Op'!C:H,5,FALSE)),0,VLOOKUP($U$11&amp;"-"&amp;B119,'BD Seq Op'!C:H,5,FALSE)))</f>
        <v>0</v>
      </c>
      <c r="E119" s="219" t="str">
        <f t="shared" si="9"/>
        <v/>
      </c>
      <c r="F119" s="225"/>
      <c r="G119" s="226"/>
      <c r="H119" s="222" t="str">
        <f t="shared" si="7"/>
        <v/>
      </c>
      <c r="I119" s="223" t="str">
        <f t="shared" si="8"/>
        <v/>
      </c>
      <c r="J119" s="207"/>
      <c r="K119" s="208"/>
      <c r="L119" s="202"/>
      <c r="M119" s="202"/>
      <c r="N119" s="202"/>
      <c r="O119" s="202"/>
      <c r="P119" s="202"/>
      <c r="Q119" s="202"/>
      <c r="T119" s="202"/>
      <c r="U119" s="124"/>
      <c r="V119" s="124"/>
      <c r="W119" s="124"/>
      <c r="X119" s="124"/>
      <c r="Y119" s="124"/>
      <c r="Z119" s="124"/>
      <c r="AA119" s="124"/>
      <c r="AB119" s="124"/>
      <c r="AC119" s="124"/>
      <c r="AD119" s="124"/>
      <c r="AE119" s="271" t="b">
        <v>0</v>
      </c>
      <c r="AF119" s="202"/>
      <c r="AG119" s="202"/>
      <c r="AH119" s="202"/>
      <c r="AI119" s="202"/>
      <c r="AJ119" s="202"/>
      <c r="AK119" s="202"/>
      <c r="AL119" s="202"/>
      <c r="AM119" s="202"/>
      <c r="AN119" s="202"/>
    </row>
    <row r="120" spans="1:40" ht="28.5" customHeight="1" x14ac:dyDescent="0.25">
      <c r="A120" s="32" t="str">
        <f t="shared" si="6"/>
        <v>Não</v>
      </c>
      <c r="B120" s="224">
        <v>112</v>
      </c>
      <c r="C120" s="217">
        <f>IF($L$1=0,0,IF(ISERROR(VLOOKUP($U$11&amp;"-"&amp;B120,'BD Seq Op'!C:H,2,FALSE)),0,VLOOKUP($U$11&amp;"-"&amp;B120,'BD Seq Op'!C:H,2,FALSE)))</f>
        <v>0</v>
      </c>
      <c r="D120" s="218">
        <f>IF($L$1=0,0,IF(ISERROR(VLOOKUP($U$11&amp;"-"&amp;B120,'BD Seq Op'!C:H,5,FALSE)),0,VLOOKUP($U$11&amp;"-"&amp;B120,'BD Seq Op'!C:H,5,FALSE)))</f>
        <v>0</v>
      </c>
      <c r="E120" s="219" t="str">
        <f t="shared" si="9"/>
        <v/>
      </c>
      <c r="F120" s="225"/>
      <c r="G120" s="226"/>
      <c r="H120" s="222" t="str">
        <f t="shared" si="7"/>
        <v/>
      </c>
      <c r="I120" s="223" t="str">
        <f t="shared" si="8"/>
        <v/>
      </c>
      <c r="J120" s="207"/>
      <c r="K120" s="208"/>
      <c r="L120" s="202"/>
      <c r="M120" s="202"/>
      <c r="N120" s="202"/>
      <c r="O120" s="202"/>
      <c r="P120" s="202"/>
      <c r="Q120" s="202"/>
      <c r="T120" s="202"/>
      <c r="U120" s="124"/>
      <c r="V120" s="124"/>
      <c r="W120" s="124"/>
      <c r="X120" s="124"/>
      <c r="Y120" s="124"/>
      <c r="Z120" s="124"/>
      <c r="AA120" s="124"/>
      <c r="AB120" s="124"/>
      <c r="AC120" s="124"/>
      <c r="AD120" s="124"/>
      <c r="AE120" s="271" t="b">
        <v>0</v>
      </c>
      <c r="AF120" s="202"/>
      <c r="AG120" s="202"/>
      <c r="AH120" s="202"/>
      <c r="AI120" s="202"/>
      <c r="AJ120" s="202"/>
      <c r="AK120" s="202"/>
      <c r="AL120" s="202"/>
      <c r="AM120" s="202"/>
      <c r="AN120" s="202"/>
    </row>
    <row r="121" spans="1:40" ht="28.5" customHeight="1" x14ac:dyDescent="0.25">
      <c r="A121" s="32" t="str">
        <f t="shared" si="6"/>
        <v>Não</v>
      </c>
      <c r="B121" s="216">
        <v>113</v>
      </c>
      <c r="C121" s="217">
        <f>IF($L$1=0,0,IF(ISERROR(VLOOKUP($U$11&amp;"-"&amp;B121,'BD Seq Op'!C:H,2,FALSE)),0,VLOOKUP($U$11&amp;"-"&amp;B121,'BD Seq Op'!C:H,2,FALSE)))</f>
        <v>0</v>
      </c>
      <c r="D121" s="218">
        <f>IF($L$1=0,0,IF(ISERROR(VLOOKUP($U$11&amp;"-"&amp;B121,'BD Seq Op'!C:H,5,FALSE)),0,VLOOKUP($U$11&amp;"-"&amp;B121,'BD Seq Op'!C:H,5,FALSE)))</f>
        <v>0</v>
      </c>
      <c r="E121" s="219" t="str">
        <f t="shared" si="9"/>
        <v/>
      </c>
      <c r="F121" s="225"/>
      <c r="G121" s="226"/>
      <c r="H121" s="222" t="str">
        <f t="shared" si="7"/>
        <v/>
      </c>
      <c r="I121" s="223" t="str">
        <f t="shared" si="8"/>
        <v/>
      </c>
      <c r="J121" s="207"/>
      <c r="K121" s="208"/>
      <c r="L121" s="202"/>
      <c r="M121" s="202"/>
      <c r="N121" s="202"/>
      <c r="O121" s="202"/>
      <c r="P121" s="202"/>
      <c r="Q121" s="202"/>
      <c r="T121" s="202"/>
      <c r="U121" s="124"/>
      <c r="V121" s="124"/>
      <c r="W121" s="124"/>
      <c r="X121" s="124"/>
      <c r="Y121" s="124"/>
      <c r="Z121" s="124"/>
      <c r="AA121" s="124"/>
      <c r="AB121" s="124"/>
      <c r="AC121" s="124"/>
      <c r="AD121" s="124"/>
      <c r="AE121" s="271" t="b">
        <v>0</v>
      </c>
      <c r="AF121" s="202"/>
      <c r="AG121" s="202"/>
      <c r="AH121" s="202"/>
      <c r="AI121" s="202"/>
      <c r="AJ121" s="202"/>
      <c r="AK121" s="202"/>
      <c r="AL121" s="202"/>
      <c r="AM121" s="202"/>
      <c r="AN121" s="202"/>
    </row>
    <row r="122" spans="1:40" ht="28.5" customHeight="1" x14ac:dyDescent="0.25">
      <c r="A122" s="32" t="str">
        <f t="shared" si="6"/>
        <v>Não</v>
      </c>
      <c r="B122" s="224">
        <v>114</v>
      </c>
      <c r="C122" s="217">
        <f>IF($L$1=0,0,IF(ISERROR(VLOOKUP($U$11&amp;"-"&amp;B122,'BD Seq Op'!C:H,2,FALSE)),0,VLOOKUP($U$11&amp;"-"&amp;B122,'BD Seq Op'!C:H,2,FALSE)))</f>
        <v>0</v>
      </c>
      <c r="D122" s="218">
        <f>IF($L$1=0,0,IF(ISERROR(VLOOKUP($U$11&amp;"-"&amp;B122,'BD Seq Op'!C:H,5,FALSE)),0,VLOOKUP($U$11&amp;"-"&amp;B122,'BD Seq Op'!C:H,5,FALSE)))</f>
        <v>0</v>
      </c>
      <c r="E122" s="219" t="str">
        <f t="shared" si="9"/>
        <v/>
      </c>
      <c r="F122" s="225"/>
      <c r="G122" s="226"/>
      <c r="H122" s="222" t="str">
        <f t="shared" si="7"/>
        <v/>
      </c>
      <c r="I122" s="223" t="str">
        <f t="shared" si="8"/>
        <v/>
      </c>
      <c r="J122" s="207"/>
      <c r="K122" s="208"/>
      <c r="L122" s="202"/>
      <c r="M122" s="202"/>
      <c r="N122" s="202"/>
      <c r="O122" s="202"/>
      <c r="P122" s="202"/>
      <c r="Q122" s="202"/>
      <c r="T122" s="202"/>
      <c r="U122" s="124"/>
      <c r="V122" s="124"/>
      <c r="W122" s="124"/>
      <c r="X122" s="124"/>
      <c r="Y122" s="124"/>
      <c r="Z122" s="124"/>
      <c r="AA122" s="124"/>
      <c r="AB122" s="124"/>
      <c r="AC122" s="124"/>
      <c r="AD122" s="124"/>
      <c r="AE122" s="271" t="b">
        <v>0</v>
      </c>
      <c r="AF122" s="202"/>
      <c r="AG122" s="202"/>
      <c r="AH122" s="202"/>
      <c r="AI122" s="202"/>
      <c r="AJ122" s="202"/>
      <c r="AK122" s="202"/>
      <c r="AL122" s="202"/>
      <c r="AM122" s="202"/>
      <c r="AN122" s="202"/>
    </row>
    <row r="123" spans="1:40" ht="28.5" customHeight="1" x14ac:dyDescent="0.25">
      <c r="A123" s="32" t="str">
        <f t="shared" si="6"/>
        <v>Não</v>
      </c>
      <c r="B123" s="216">
        <v>115</v>
      </c>
      <c r="C123" s="217">
        <f>IF($L$1=0,0,IF(ISERROR(VLOOKUP($U$11&amp;"-"&amp;B123,'BD Seq Op'!C:H,2,FALSE)),0,VLOOKUP($U$11&amp;"-"&amp;B123,'BD Seq Op'!C:H,2,FALSE)))</f>
        <v>0</v>
      </c>
      <c r="D123" s="218">
        <f>IF($L$1=0,0,IF(ISERROR(VLOOKUP($U$11&amp;"-"&amp;B123,'BD Seq Op'!C:H,5,FALSE)),0,VLOOKUP($U$11&amp;"-"&amp;B123,'BD Seq Op'!C:H,5,FALSE)))</f>
        <v>0</v>
      </c>
      <c r="E123" s="219" t="str">
        <f t="shared" si="9"/>
        <v/>
      </c>
      <c r="F123" s="225"/>
      <c r="G123" s="226"/>
      <c r="H123" s="222" t="str">
        <f t="shared" si="7"/>
        <v/>
      </c>
      <c r="I123" s="223" t="str">
        <f t="shared" si="8"/>
        <v/>
      </c>
      <c r="J123" s="207"/>
      <c r="K123" s="208"/>
      <c r="L123" s="202"/>
      <c r="M123" s="202"/>
      <c r="N123" s="202"/>
      <c r="O123" s="202"/>
      <c r="P123" s="202"/>
      <c r="Q123" s="202"/>
      <c r="T123" s="202"/>
      <c r="U123" s="124"/>
      <c r="V123" s="124"/>
      <c r="W123" s="124"/>
      <c r="X123" s="124"/>
      <c r="Y123" s="124"/>
      <c r="Z123" s="124"/>
      <c r="AA123" s="124"/>
      <c r="AB123" s="124"/>
      <c r="AC123" s="124"/>
      <c r="AD123" s="124"/>
      <c r="AE123" s="271" t="b">
        <v>0</v>
      </c>
      <c r="AF123" s="202"/>
      <c r="AG123" s="202"/>
      <c r="AH123" s="202"/>
      <c r="AI123" s="202"/>
      <c r="AJ123" s="202"/>
      <c r="AK123" s="202"/>
      <c r="AL123" s="202"/>
      <c r="AM123" s="202"/>
      <c r="AN123" s="202"/>
    </row>
    <row r="124" spans="1:40" ht="28.5" customHeight="1" x14ac:dyDescent="0.25">
      <c r="A124" s="32" t="str">
        <f t="shared" si="6"/>
        <v>Não</v>
      </c>
      <c r="B124" s="224">
        <v>116</v>
      </c>
      <c r="C124" s="217">
        <f>IF($L$1=0,0,IF(ISERROR(VLOOKUP($U$11&amp;"-"&amp;B124,'BD Seq Op'!C:H,2,FALSE)),0,VLOOKUP($U$11&amp;"-"&amp;B124,'BD Seq Op'!C:H,2,FALSE)))</f>
        <v>0</v>
      </c>
      <c r="D124" s="218">
        <f>IF($L$1=0,0,IF(ISERROR(VLOOKUP($U$11&amp;"-"&amp;B124,'BD Seq Op'!C:H,5,FALSE)),0,VLOOKUP($U$11&amp;"-"&amp;B124,'BD Seq Op'!C:H,5,FALSE)))</f>
        <v>0</v>
      </c>
      <c r="E124" s="219" t="str">
        <f t="shared" si="9"/>
        <v/>
      </c>
      <c r="F124" s="225"/>
      <c r="G124" s="226"/>
      <c r="H124" s="222" t="str">
        <f t="shared" si="7"/>
        <v/>
      </c>
      <c r="I124" s="223" t="str">
        <f t="shared" si="8"/>
        <v/>
      </c>
      <c r="J124" s="207"/>
      <c r="K124" s="208"/>
      <c r="L124" s="202"/>
      <c r="M124" s="202"/>
      <c r="N124" s="202"/>
      <c r="O124" s="202"/>
      <c r="P124" s="202"/>
      <c r="Q124" s="202"/>
      <c r="T124" s="202"/>
      <c r="U124" s="124"/>
      <c r="V124" s="124"/>
      <c r="W124" s="124"/>
      <c r="X124" s="124"/>
      <c r="Y124" s="124"/>
      <c r="Z124" s="124"/>
      <c r="AA124" s="124"/>
      <c r="AB124" s="124"/>
      <c r="AC124" s="124"/>
      <c r="AD124" s="124"/>
      <c r="AE124" s="271" t="b">
        <v>0</v>
      </c>
      <c r="AF124" s="202"/>
      <c r="AG124" s="202"/>
      <c r="AH124" s="202"/>
      <c r="AI124" s="202"/>
      <c r="AJ124" s="202"/>
      <c r="AK124" s="202"/>
      <c r="AL124" s="202"/>
      <c r="AM124" s="202"/>
      <c r="AN124" s="202"/>
    </row>
    <row r="125" spans="1:40" ht="28.5" customHeight="1" x14ac:dyDescent="0.25">
      <c r="A125" s="32" t="str">
        <f t="shared" si="6"/>
        <v>Não</v>
      </c>
      <c r="B125" s="216">
        <v>117</v>
      </c>
      <c r="C125" s="217">
        <f>IF($L$1=0,0,IF(ISERROR(VLOOKUP($U$11&amp;"-"&amp;B125,'BD Seq Op'!C:H,2,FALSE)),0,VLOOKUP($U$11&amp;"-"&amp;B125,'BD Seq Op'!C:H,2,FALSE)))</f>
        <v>0</v>
      </c>
      <c r="D125" s="218">
        <f>IF($L$1=0,0,IF(ISERROR(VLOOKUP($U$11&amp;"-"&amp;B125,'BD Seq Op'!C:H,5,FALSE)),0,VLOOKUP($U$11&amp;"-"&amp;B125,'BD Seq Op'!C:H,5,FALSE)))</f>
        <v>0</v>
      </c>
      <c r="E125" s="219" t="str">
        <f t="shared" si="9"/>
        <v/>
      </c>
      <c r="F125" s="225"/>
      <c r="G125" s="226"/>
      <c r="H125" s="222" t="str">
        <f t="shared" si="7"/>
        <v/>
      </c>
      <c r="I125" s="223" t="str">
        <f t="shared" si="8"/>
        <v/>
      </c>
      <c r="J125" s="207"/>
      <c r="K125" s="208"/>
      <c r="L125" s="202"/>
      <c r="M125" s="202"/>
      <c r="N125" s="202"/>
      <c r="O125" s="202"/>
      <c r="P125" s="202"/>
      <c r="Q125" s="202"/>
      <c r="T125" s="202"/>
      <c r="U125" s="124"/>
      <c r="V125" s="124"/>
      <c r="W125" s="124"/>
      <c r="X125" s="124"/>
      <c r="Y125" s="124"/>
      <c r="Z125" s="124"/>
      <c r="AA125" s="124"/>
      <c r="AB125" s="124"/>
      <c r="AC125" s="124"/>
      <c r="AD125" s="124"/>
      <c r="AE125" s="271" t="b">
        <v>0</v>
      </c>
      <c r="AF125" s="202"/>
      <c r="AG125" s="202"/>
      <c r="AH125" s="202"/>
      <c r="AI125" s="202"/>
      <c r="AJ125" s="202"/>
      <c r="AK125" s="202"/>
      <c r="AL125" s="202"/>
      <c r="AM125" s="202"/>
      <c r="AN125" s="202"/>
    </row>
    <row r="126" spans="1:40" ht="28.5" customHeight="1" x14ac:dyDescent="0.25">
      <c r="A126" s="32" t="str">
        <f t="shared" si="6"/>
        <v>Não</v>
      </c>
      <c r="B126" s="224">
        <v>118</v>
      </c>
      <c r="C126" s="217">
        <f>IF($L$1=0,0,IF(ISERROR(VLOOKUP($U$11&amp;"-"&amp;B126,'BD Seq Op'!C:H,2,FALSE)),0,VLOOKUP($U$11&amp;"-"&amp;B126,'BD Seq Op'!C:H,2,FALSE)))</f>
        <v>0</v>
      </c>
      <c r="D126" s="218">
        <f>IF($L$1=0,0,IF(ISERROR(VLOOKUP($U$11&amp;"-"&amp;B126,'BD Seq Op'!C:H,5,FALSE)),0,VLOOKUP($U$11&amp;"-"&amp;B126,'BD Seq Op'!C:H,5,FALSE)))</f>
        <v>0</v>
      </c>
      <c r="E126" s="219" t="str">
        <f t="shared" si="9"/>
        <v/>
      </c>
      <c r="F126" s="225"/>
      <c r="G126" s="226"/>
      <c r="H126" s="222" t="str">
        <f t="shared" si="7"/>
        <v/>
      </c>
      <c r="I126" s="223" t="str">
        <f t="shared" si="8"/>
        <v/>
      </c>
      <c r="J126" s="207"/>
      <c r="K126" s="208"/>
      <c r="L126" s="202"/>
      <c r="M126" s="202"/>
      <c r="N126" s="202"/>
      <c r="O126" s="202"/>
      <c r="P126" s="202"/>
      <c r="Q126" s="202"/>
      <c r="T126" s="202"/>
      <c r="U126" s="124"/>
      <c r="V126" s="124"/>
      <c r="W126" s="124"/>
      <c r="X126" s="124"/>
      <c r="Y126" s="124"/>
      <c r="Z126" s="124"/>
      <c r="AA126" s="124"/>
      <c r="AB126" s="124"/>
      <c r="AC126" s="124"/>
      <c r="AD126" s="124"/>
      <c r="AE126" s="271" t="b">
        <v>0</v>
      </c>
      <c r="AF126" s="202"/>
      <c r="AG126" s="202"/>
      <c r="AH126" s="202"/>
      <c r="AI126" s="202"/>
      <c r="AJ126" s="202"/>
      <c r="AK126" s="202"/>
      <c r="AL126" s="202"/>
      <c r="AM126" s="202"/>
      <c r="AN126" s="202"/>
    </row>
    <row r="127" spans="1:40" ht="28.5" customHeight="1" x14ac:dyDescent="0.25">
      <c r="A127" s="32" t="str">
        <f t="shared" si="6"/>
        <v>Não</v>
      </c>
      <c r="B127" s="216">
        <v>119</v>
      </c>
      <c r="C127" s="217">
        <f>IF($L$1=0,0,IF(ISERROR(VLOOKUP($U$11&amp;"-"&amp;B127,'BD Seq Op'!C:H,2,FALSE)),0,VLOOKUP($U$11&amp;"-"&amp;B127,'BD Seq Op'!C:H,2,FALSE)))</f>
        <v>0</v>
      </c>
      <c r="D127" s="218">
        <f>IF($L$1=0,0,IF(ISERROR(VLOOKUP($U$11&amp;"-"&amp;B127,'BD Seq Op'!C:H,5,FALSE)),0,VLOOKUP($U$11&amp;"-"&amp;B127,'BD Seq Op'!C:H,5,FALSE)))</f>
        <v>0</v>
      </c>
      <c r="E127" s="219" t="str">
        <f t="shared" si="9"/>
        <v/>
      </c>
      <c r="F127" s="225"/>
      <c r="G127" s="226"/>
      <c r="H127" s="222" t="str">
        <f t="shared" si="7"/>
        <v/>
      </c>
      <c r="I127" s="223" t="str">
        <f t="shared" si="8"/>
        <v/>
      </c>
      <c r="J127" s="207"/>
      <c r="K127" s="208"/>
      <c r="L127" s="202"/>
      <c r="M127" s="202"/>
      <c r="N127" s="202"/>
      <c r="O127" s="202"/>
      <c r="P127" s="202"/>
      <c r="Q127" s="202"/>
      <c r="T127" s="202"/>
      <c r="U127" s="124"/>
      <c r="V127" s="124"/>
      <c r="W127" s="124"/>
      <c r="X127" s="124"/>
      <c r="Y127" s="124"/>
      <c r="Z127" s="124"/>
      <c r="AA127" s="124"/>
      <c r="AB127" s="124"/>
      <c r="AC127" s="124"/>
      <c r="AD127" s="124"/>
      <c r="AE127" s="271" t="b">
        <v>0</v>
      </c>
      <c r="AF127" s="202"/>
      <c r="AG127" s="202"/>
      <c r="AH127" s="202"/>
      <c r="AI127" s="202"/>
      <c r="AJ127" s="202"/>
      <c r="AK127" s="202"/>
      <c r="AL127" s="202"/>
      <c r="AM127" s="202"/>
      <c r="AN127" s="202"/>
    </row>
    <row r="128" spans="1:40" ht="28.5" customHeight="1" x14ac:dyDescent="0.25">
      <c r="A128" s="32" t="str">
        <f t="shared" si="6"/>
        <v>Não</v>
      </c>
      <c r="B128" s="224">
        <v>120</v>
      </c>
      <c r="C128" s="217">
        <f>IF($L$1=0,0,IF(ISERROR(VLOOKUP($U$11&amp;"-"&amp;B128,'BD Seq Op'!C:H,2,FALSE)),0,VLOOKUP($U$11&amp;"-"&amp;B128,'BD Seq Op'!C:H,2,FALSE)))</f>
        <v>0</v>
      </c>
      <c r="D128" s="218">
        <f>IF($L$1=0,0,IF(ISERROR(VLOOKUP($U$11&amp;"-"&amp;B128,'BD Seq Op'!C:H,5,FALSE)),0,VLOOKUP($U$11&amp;"-"&amp;B128,'BD Seq Op'!C:H,5,FALSE)))</f>
        <v>0</v>
      </c>
      <c r="E128" s="219" t="str">
        <f t="shared" si="9"/>
        <v/>
      </c>
      <c r="F128" s="225"/>
      <c r="G128" s="226"/>
      <c r="H128" s="222" t="str">
        <f t="shared" si="7"/>
        <v/>
      </c>
      <c r="I128" s="223" t="str">
        <f t="shared" si="8"/>
        <v/>
      </c>
      <c r="J128" s="207"/>
      <c r="K128" s="208"/>
      <c r="L128" s="202"/>
      <c r="M128" s="202"/>
      <c r="N128" s="202"/>
      <c r="O128" s="202"/>
      <c r="P128" s="202"/>
      <c r="Q128" s="202"/>
      <c r="T128" s="202"/>
      <c r="U128" s="124"/>
      <c r="V128" s="124"/>
      <c r="W128" s="124"/>
      <c r="X128" s="124"/>
      <c r="Y128" s="124"/>
      <c r="Z128" s="124"/>
      <c r="AA128" s="124"/>
      <c r="AB128" s="124"/>
      <c r="AC128" s="124"/>
      <c r="AD128" s="124"/>
      <c r="AE128" s="271" t="b">
        <v>0</v>
      </c>
      <c r="AF128" s="202"/>
      <c r="AG128" s="202"/>
      <c r="AH128" s="202"/>
      <c r="AI128" s="202"/>
      <c r="AJ128" s="202"/>
      <c r="AK128" s="202"/>
      <c r="AL128" s="202"/>
      <c r="AM128" s="202"/>
      <c r="AN128" s="202"/>
    </row>
    <row r="129" spans="1:40" ht="21.75" customHeight="1" x14ac:dyDescent="0.2">
      <c r="A129" s="128" t="s">
        <v>22</v>
      </c>
      <c r="B129" s="227"/>
      <c r="C129" s="228"/>
      <c r="D129" s="204"/>
      <c r="E129" s="229" t="s">
        <v>49</v>
      </c>
      <c r="F129" s="230">
        <f>SUBTOTAL(9,I9:I128)</f>
        <v>0</v>
      </c>
      <c r="G129" s="204"/>
      <c r="H129" s="202"/>
      <c r="I129" s="202"/>
      <c r="J129" s="208"/>
      <c r="K129" s="208"/>
      <c r="L129" s="202"/>
      <c r="M129" s="202"/>
      <c r="N129" s="202"/>
      <c r="O129" s="202"/>
      <c r="P129" s="202"/>
      <c r="Q129" s="202"/>
      <c r="T129" s="202"/>
      <c r="AF129" s="202"/>
      <c r="AG129" s="202"/>
      <c r="AH129" s="202"/>
      <c r="AI129" s="202"/>
      <c r="AJ129" s="202"/>
      <c r="AK129" s="202"/>
      <c r="AL129" s="202"/>
      <c r="AM129" s="202"/>
      <c r="AN129" s="202"/>
    </row>
    <row r="130" spans="1:40" x14ac:dyDescent="0.2">
      <c r="B130" s="201"/>
      <c r="C130" s="202"/>
      <c r="D130" s="202"/>
      <c r="E130" s="202"/>
      <c r="F130" s="202"/>
      <c r="G130" s="202"/>
      <c r="H130" s="202"/>
      <c r="I130" s="202"/>
      <c r="J130" s="202"/>
      <c r="K130" s="202"/>
      <c r="L130" s="202"/>
      <c r="M130" s="202"/>
      <c r="N130" s="202"/>
      <c r="O130" s="202"/>
      <c r="P130" s="202"/>
      <c r="Q130" s="202"/>
      <c r="T130" s="202"/>
      <c r="AF130" s="202"/>
      <c r="AG130" s="202"/>
      <c r="AH130" s="202"/>
      <c r="AI130" s="202"/>
      <c r="AJ130" s="202"/>
      <c r="AK130" s="202"/>
      <c r="AL130" s="202"/>
      <c r="AM130" s="202"/>
      <c r="AN130" s="202"/>
    </row>
    <row r="131" spans="1:40" x14ac:dyDescent="0.2">
      <c r="B131" s="201"/>
      <c r="C131" s="202"/>
      <c r="D131" s="202"/>
      <c r="E131" s="202"/>
      <c r="F131" s="202"/>
      <c r="G131" s="202"/>
      <c r="H131" s="202"/>
      <c r="I131" s="202"/>
      <c r="J131" s="202"/>
      <c r="K131" s="202"/>
      <c r="L131" s="202"/>
      <c r="M131" s="202"/>
      <c r="N131" s="202"/>
      <c r="O131" s="202"/>
      <c r="P131" s="202"/>
      <c r="Q131" s="202"/>
      <c r="T131" s="202"/>
      <c r="AF131" s="202"/>
      <c r="AG131" s="202"/>
      <c r="AH131" s="202"/>
      <c r="AI131" s="202"/>
      <c r="AJ131" s="202"/>
      <c r="AK131" s="202"/>
      <c r="AL131" s="202"/>
      <c r="AM131" s="202"/>
      <c r="AN131" s="202"/>
    </row>
    <row r="132" spans="1:40" x14ac:dyDescent="0.2">
      <c r="B132" s="201"/>
      <c r="C132" s="202"/>
      <c r="D132" s="202"/>
      <c r="E132" s="202"/>
      <c r="F132" s="202"/>
      <c r="G132" s="202"/>
      <c r="H132" s="202"/>
      <c r="I132" s="202"/>
      <c r="J132" s="202"/>
      <c r="K132" s="202"/>
      <c r="L132" s="202"/>
      <c r="M132" s="202"/>
      <c r="N132" s="202"/>
      <c r="O132" s="202"/>
      <c r="P132" s="202"/>
      <c r="Q132" s="202"/>
      <c r="T132" s="202"/>
      <c r="AF132" s="202"/>
      <c r="AG132" s="202"/>
      <c r="AH132" s="202"/>
      <c r="AI132" s="202"/>
      <c r="AJ132" s="202"/>
      <c r="AK132" s="202"/>
      <c r="AL132" s="202"/>
      <c r="AM132" s="202"/>
      <c r="AN132" s="202"/>
    </row>
    <row r="133" spans="1:40" x14ac:dyDescent="0.2">
      <c r="B133" s="201"/>
      <c r="C133" s="202"/>
      <c r="D133" s="202"/>
      <c r="E133" s="202"/>
      <c r="F133" s="202"/>
      <c r="G133" s="202"/>
      <c r="H133" s="202"/>
      <c r="I133" s="202"/>
      <c r="J133" s="202"/>
      <c r="K133" s="202"/>
      <c r="L133" s="202"/>
      <c r="M133" s="202"/>
      <c r="N133" s="202"/>
      <c r="O133" s="202"/>
      <c r="P133" s="202"/>
      <c r="Q133" s="202"/>
      <c r="T133" s="202"/>
      <c r="AF133" s="202"/>
      <c r="AG133" s="202"/>
      <c r="AH133" s="202"/>
      <c r="AI133" s="202"/>
      <c r="AJ133" s="202"/>
      <c r="AK133" s="202"/>
      <c r="AL133" s="202"/>
      <c r="AM133" s="202"/>
      <c r="AN133" s="202"/>
    </row>
    <row r="134" spans="1:40" x14ac:dyDescent="0.2">
      <c r="B134" s="201"/>
      <c r="C134" s="202"/>
      <c r="D134" s="202"/>
      <c r="E134" s="202"/>
      <c r="F134" s="202"/>
      <c r="G134" s="202"/>
      <c r="H134" s="202"/>
      <c r="I134" s="202"/>
      <c r="J134" s="202"/>
      <c r="K134" s="202"/>
      <c r="L134" s="202"/>
      <c r="M134" s="202"/>
      <c r="N134" s="202"/>
      <c r="O134" s="202"/>
      <c r="P134" s="202"/>
      <c r="Q134" s="202"/>
      <c r="T134" s="202"/>
      <c r="AF134" s="202"/>
      <c r="AG134" s="202"/>
      <c r="AH134" s="202"/>
      <c r="AI134" s="202"/>
      <c r="AJ134" s="202"/>
      <c r="AK134" s="202"/>
      <c r="AL134" s="202"/>
      <c r="AM134" s="202"/>
      <c r="AN134" s="202"/>
    </row>
    <row r="135" spans="1:40" x14ac:dyDescent="0.2">
      <c r="B135" s="201"/>
      <c r="C135" s="202"/>
      <c r="D135" s="202"/>
      <c r="E135" s="202"/>
      <c r="F135" s="202"/>
      <c r="G135" s="202"/>
      <c r="H135" s="202"/>
      <c r="I135" s="202"/>
      <c r="J135" s="202"/>
      <c r="K135" s="202"/>
      <c r="L135" s="202"/>
      <c r="M135" s="202"/>
      <c r="N135" s="202"/>
      <c r="O135" s="202"/>
      <c r="P135" s="202"/>
      <c r="Q135" s="202"/>
      <c r="T135" s="202"/>
      <c r="AF135" s="202"/>
      <c r="AG135" s="202"/>
      <c r="AH135" s="202"/>
      <c r="AI135" s="202"/>
      <c r="AJ135" s="202"/>
      <c r="AK135" s="202"/>
      <c r="AL135" s="202"/>
      <c r="AM135" s="202"/>
      <c r="AN135" s="202"/>
    </row>
    <row r="136" spans="1:40" x14ac:dyDescent="0.2">
      <c r="B136" s="201"/>
      <c r="C136" s="202"/>
      <c r="D136" s="202"/>
      <c r="E136" s="202"/>
      <c r="F136" s="202"/>
      <c r="G136" s="202"/>
      <c r="H136" s="202"/>
      <c r="I136" s="202"/>
      <c r="J136" s="202"/>
      <c r="K136" s="202"/>
      <c r="L136" s="202"/>
      <c r="M136" s="202"/>
      <c r="N136" s="202"/>
      <c r="O136" s="202"/>
      <c r="P136" s="202"/>
      <c r="Q136" s="202"/>
      <c r="T136" s="202"/>
      <c r="AF136" s="202"/>
      <c r="AG136" s="202"/>
      <c r="AH136" s="202"/>
      <c r="AI136" s="202"/>
      <c r="AJ136" s="202"/>
      <c r="AK136" s="202"/>
      <c r="AL136" s="202"/>
      <c r="AM136" s="202"/>
      <c r="AN136" s="202"/>
    </row>
    <row r="137" spans="1:40" x14ac:dyDescent="0.2">
      <c r="B137" s="201"/>
      <c r="C137" s="202"/>
      <c r="D137" s="202"/>
      <c r="E137" s="202"/>
      <c r="F137" s="202"/>
      <c r="G137" s="202"/>
      <c r="H137" s="202"/>
      <c r="I137" s="202"/>
      <c r="J137" s="202"/>
      <c r="K137" s="202"/>
      <c r="L137" s="202"/>
      <c r="M137" s="202"/>
      <c r="N137" s="202"/>
      <c r="O137" s="202"/>
      <c r="P137" s="202"/>
      <c r="Q137" s="202"/>
      <c r="T137" s="202"/>
      <c r="AF137" s="202"/>
      <c r="AG137" s="202"/>
      <c r="AH137" s="202"/>
      <c r="AI137" s="202"/>
      <c r="AJ137" s="202"/>
      <c r="AK137" s="202"/>
      <c r="AL137" s="202"/>
      <c r="AM137" s="202"/>
      <c r="AN137" s="202"/>
    </row>
    <row r="138" spans="1:40" x14ac:dyDescent="0.2">
      <c r="B138" s="201"/>
      <c r="C138" s="202"/>
      <c r="D138" s="202"/>
      <c r="E138" s="202"/>
      <c r="F138" s="202"/>
      <c r="G138" s="202"/>
      <c r="H138" s="202"/>
      <c r="I138" s="202"/>
      <c r="J138" s="202"/>
      <c r="K138" s="202"/>
      <c r="L138" s="202"/>
      <c r="M138" s="202"/>
      <c r="N138" s="202"/>
      <c r="O138" s="202"/>
      <c r="P138" s="202"/>
      <c r="Q138" s="202"/>
      <c r="T138" s="202"/>
      <c r="AF138" s="202"/>
      <c r="AG138" s="202"/>
      <c r="AH138" s="202"/>
      <c r="AI138" s="202"/>
      <c r="AJ138" s="202"/>
      <c r="AK138" s="202"/>
      <c r="AL138" s="202"/>
      <c r="AM138" s="202"/>
      <c r="AN138" s="202"/>
    </row>
    <row r="139" spans="1:40" x14ac:dyDescent="0.2">
      <c r="B139" s="201"/>
      <c r="C139" s="202"/>
      <c r="D139" s="202"/>
      <c r="E139" s="202"/>
      <c r="F139" s="202"/>
      <c r="G139" s="202"/>
      <c r="H139" s="202"/>
      <c r="I139" s="202"/>
      <c r="J139" s="202"/>
      <c r="K139" s="202"/>
      <c r="L139" s="202"/>
      <c r="M139" s="202"/>
      <c r="N139" s="202"/>
      <c r="O139" s="202"/>
      <c r="P139" s="202"/>
      <c r="Q139" s="202"/>
      <c r="T139" s="202"/>
      <c r="AF139" s="202"/>
      <c r="AG139" s="202"/>
      <c r="AH139" s="202"/>
      <c r="AI139" s="202"/>
      <c r="AJ139" s="202"/>
      <c r="AK139" s="202"/>
      <c r="AL139" s="202"/>
      <c r="AM139" s="202"/>
      <c r="AN139" s="202"/>
    </row>
    <row r="140" spans="1:40" x14ac:dyDescent="0.2">
      <c r="B140" s="201"/>
      <c r="C140" s="202"/>
      <c r="D140" s="202"/>
      <c r="E140" s="202"/>
      <c r="F140" s="202"/>
      <c r="G140" s="202"/>
      <c r="H140" s="202"/>
      <c r="I140" s="202"/>
      <c r="J140" s="202"/>
      <c r="K140" s="202"/>
      <c r="L140" s="202"/>
      <c r="M140" s="202"/>
      <c r="N140" s="202"/>
      <c r="O140" s="202"/>
      <c r="P140" s="202"/>
      <c r="Q140" s="202"/>
      <c r="T140" s="202"/>
      <c r="AF140" s="202"/>
      <c r="AG140" s="202"/>
      <c r="AH140" s="202"/>
      <c r="AI140" s="202"/>
      <c r="AJ140" s="202"/>
      <c r="AK140" s="202"/>
      <c r="AL140" s="202"/>
      <c r="AM140" s="202"/>
      <c r="AN140" s="202"/>
    </row>
    <row r="141" spans="1:40" x14ac:dyDescent="0.2">
      <c r="B141" s="201"/>
      <c r="C141" s="202"/>
      <c r="D141" s="202"/>
      <c r="E141" s="202"/>
      <c r="F141" s="202"/>
      <c r="G141" s="202"/>
      <c r="H141" s="202"/>
      <c r="I141" s="202"/>
      <c r="J141" s="202"/>
      <c r="K141" s="202"/>
      <c r="L141" s="202"/>
      <c r="M141" s="202"/>
      <c r="N141" s="202"/>
      <c r="O141" s="202"/>
      <c r="P141" s="202"/>
      <c r="Q141" s="202"/>
      <c r="T141" s="202"/>
      <c r="AF141" s="202"/>
      <c r="AG141" s="202"/>
      <c r="AH141" s="202"/>
      <c r="AI141" s="202"/>
      <c r="AJ141" s="202"/>
      <c r="AK141" s="202"/>
      <c r="AL141" s="202"/>
      <c r="AM141" s="202"/>
      <c r="AN141" s="202"/>
    </row>
    <row r="142" spans="1:40" x14ac:dyDescent="0.2">
      <c r="B142" s="201"/>
      <c r="C142" s="202"/>
      <c r="D142" s="202"/>
      <c r="E142" s="202"/>
      <c r="F142" s="202"/>
      <c r="G142" s="202"/>
      <c r="H142" s="202"/>
      <c r="I142" s="202"/>
      <c r="J142" s="202"/>
      <c r="K142" s="202"/>
      <c r="L142" s="202"/>
      <c r="M142" s="202"/>
      <c r="N142" s="202"/>
      <c r="O142" s="202"/>
      <c r="P142" s="202"/>
      <c r="Q142" s="202"/>
      <c r="T142" s="202"/>
      <c r="AF142" s="202"/>
      <c r="AG142" s="202"/>
      <c r="AH142" s="202"/>
      <c r="AI142" s="202"/>
      <c r="AJ142" s="202"/>
      <c r="AK142" s="202"/>
      <c r="AL142" s="202"/>
      <c r="AM142" s="202"/>
      <c r="AN142" s="202"/>
    </row>
    <row r="143" spans="1:40" x14ac:dyDescent="0.2">
      <c r="B143" s="201"/>
      <c r="C143" s="202"/>
      <c r="D143" s="202"/>
      <c r="E143" s="202"/>
      <c r="F143" s="202"/>
      <c r="G143" s="202"/>
      <c r="H143" s="202"/>
      <c r="I143" s="202"/>
      <c r="J143" s="202"/>
      <c r="K143" s="202"/>
      <c r="L143" s="202"/>
      <c r="M143" s="202"/>
      <c r="N143" s="202"/>
      <c r="O143" s="202"/>
      <c r="P143" s="202"/>
      <c r="Q143" s="202"/>
      <c r="T143" s="202"/>
      <c r="AF143" s="202"/>
      <c r="AG143" s="202"/>
      <c r="AH143" s="202"/>
      <c r="AI143" s="202"/>
      <c r="AJ143" s="202"/>
      <c r="AK143" s="202"/>
      <c r="AL143" s="202"/>
      <c r="AM143" s="202"/>
      <c r="AN143" s="202"/>
    </row>
    <row r="144" spans="1:40" x14ac:dyDescent="0.2">
      <c r="B144" s="201"/>
      <c r="C144" s="202"/>
      <c r="D144" s="202"/>
      <c r="E144" s="202"/>
      <c r="F144" s="202"/>
      <c r="G144" s="202"/>
      <c r="H144" s="202"/>
      <c r="I144" s="202"/>
      <c r="J144" s="202"/>
      <c r="K144" s="202"/>
      <c r="L144" s="202"/>
      <c r="M144" s="202"/>
      <c r="N144" s="202"/>
      <c r="O144" s="202"/>
      <c r="P144" s="202"/>
      <c r="Q144" s="202"/>
      <c r="T144" s="202"/>
      <c r="AF144" s="202"/>
      <c r="AG144" s="202"/>
      <c r="AH144" s="202"/>
      <c r="AI144" s="202"/>
      <c r="AJ144" s="202"/>
      <c r="AK144" s="202"/>
      <c r="AL144" s="202"/>
      <c r="AM144" s="202"/>
      <c r="AN144" s="202"/>
    </row>
    <row r="145" spans="2:40" x14ac:dyDescent="0.2">
      <c r="B145" s="201"/>
      <c r="C145" s="202"/>
      <c r="D145" s="202"/>
      <c r="E145" s="202"/>
      <c r="F145" s="202"/>
      <c r="G145" s="202"/>
      <c r="H145" s="202"/>
      <c r="I145" s="202"/>
      <c r="J145" s="202"/>
      <c r="K145" s="202"/>
      <c r="L145" s="202"/>
      <c r="M145" s="202"/>
      <c r="N145" s="202"/>
      <c r="O145" s="202"/>
      <c r="P145" s="202"/>
      <c r="Q145" s="202"/>
      <c r="T145" s="202"/>
      <c r="AF145" s="202"/>
      <c r="AG145" s="202"/>
      <c r="AH145" s="202"/>
      <c r="AI145" s="202"/>
      <c r="AJ145" s="202"/>
      <c r="AK145" s="202"/>
      <c r="AL145" s="202"/>
      <c r="AM145" s="202"/>
      <c r="AN145" s="202"/>
    </row>
    <row r="146" spans="2:40" x14ac:dyDescent="0.2">
      <c r="B146" s="201"/>
      <c r="C146" s="202"/>
      <c r="D146" s="202"/>
      <c r="E146" s="202"/>
      <c r="F146" s="202"/>
      <c r="G146" s="202"/>
      <c r="H146" s="202"/>
      <c r="I146" s="202"/>
      <c r="J146" s="202"/>
      <c r="K146" s="202"/>
      <c r="L146" s="202"/>
      <c r="M146" s="202"/>
      <c r="N146" s="202"/>
      <c r="O146" s="202"/>
      <c r="P146" s="202"/>
      <c r="Q146" s="202"/>
      <c r="T146" s="202"/>
      <c r="AF146" s="202"/>
      <c r="AG146" s="202"/>
      <c r="AH146" s="202"/>
      <c r="AI146" s="202"/>
      <c r="AJ146" s="202"/>
      <c r="AK146" s="202"/>
      <c r="AL146" s="202"/>
      <c r="AM146" s="202"/>
      <c r="AN146" s="202"/>
    </row>
    <row r="147" spans="2:40" x14ac:dyDescent="0.2">
      <c r="B147" s="201"/>
      <c r="C147" s="202"/>
      <c r="D147" s="202"/>
      <c r="E147" s="202"/>
      <c r="F147" s="202"/>
      <c r="G147" s="202"/>
      <c r="H147" s="202"/>
      <c r="I147" s="202"/>
      <c r="J147" s="202"/>
      <c r="K147" s="202"/>
      <c r="L147" s="202"/>
      <c r="M147" s="202"/>
      <c r="N147" s="202"/>
      <c r="O147" s="202"/>
      <c r="P147" s="202"/>
      <c r="Q147" s="202"/>
      <c r="T147" s="202"/>
      <c r="AF147" s="202"/>
      <c r="AG147" s="202"/>
      <c r="AH147" s="202"/>
      <c r="AI147" s="202"/>
      <c r="AJ147" s="202"/>
      <c r="AK147" s="202"/>
      <c r="AL147" s="202"/>
      <c r="AM147" s="202"/>
      <c r="AN147" s="202"/>
    </row>
    <row r="148" spans="2:40" x14ac:dyDescent="0.2">
      <c r="B148" s="201"/>
      <c r="C148" s="202"/>
      <c r="D148" s="202"/>
      <c r="E148" s="202"/>
      <c r="F148" s="202"/>
      <c r="G148" s="202"/>
      <c r="H148" s="202"/>
      <c r="I148" s="202"/>
      <c r="J148" s="202"/>
      <c r="K148" s="202"/>
      <c r="L148" s="202"/>
      <c r="M148" s="202"/>
      <c r="N148" s="202"/>
      <c r="O148" s="202"/>
      <c r="P148" s="202"/>
      <c r="Q148" s="202"/>
      <c r="T148" s="202"/>
      <c r="AF148" s="202"/>
      <c r="AG148" s="202"/>
      <c r="AH148" s="202"/>
      <c r="AI148" s="202"/>
      <c r="AJ148" s="202"/>
      <c r="AK148" s="202"/>
      <c r="AL148" s="202"/>
      <c r="AM148" s="202"/>
      <c r="AN148" s="202"/>
    </row>
    <row r="149" spans="2:40" x14ac:dyDescent="0.2">
      <c r="B149" s="201"/>
      <c r="C149" s="202"/>
      <c r="D149" s="202"/>
      <c r="E149" s="202"/>
      <c r="F149" s="202"/>
      <c r="G149" s="202"/>
      <c r="H149" s="202"/>
      <c r="I149" s="202"/>
      <c r="J149" s="202"/>
      <c r="K149" s="202"/>
      <c r="L149" s="202"/>
      <c r="M149" s="202"/>
      <c r="N149" s="202"/>
      <c r="O149" s="202"/>
      <c r="P149" s="202"/>
      <c r="Q149" s="202"/>
      <c r="T149" s="202"/>
      <c r="AF149" s="202"/>
      <c r="AG149" s="202"/>
      <c r="AH149" s="202"/>
      <c r="AI149" s="202"/>
      <c r="AJ149" s="202"/>
      <c r="AK149" s="202"/>
      <c r="AL149" s="202"/>
      <c r="AM149" s="202"/>
      <c r="AN149" s="202"/>
    </row>
  </sheetData>
  <sheetProtection sheet="1" objects="1" scenarios="1" autoFilter="0"/>
  <autoFilter ref="A7:I128" xr:uid="{00000000-0009-0000-0000-000005000000}"/>
  <mergeCells count="3">
    <mergeCell ref="G1:I1"/>
    <mergeCell ref="B6:E6"/>
    <mergeCell ref="N1:O1"/>
  </mergeCells>
  <conditionalFormatting sqref="G2:I3 G1">
    <cfRule type="cellIs" dxfId="17" priority="4" operator="notEqual">
      <formula>""</formula>
    </cfRule>
  </conditionalFormatting>
  <conditionalFormatting sqref="P6">
    <cfRule type="cellIs" dxfId="16" priority="3" operator="notEqual">
      <formula>""</formula>
    </cfRule>
  </conditionalFormatting>
  <conditionalFormatting sqref="H1:I1">
    <cfRule type="cellIs" dxfId="15" priority="2" operator="notEqual">
      <formula>""</formula>
    </cfRule>
  </conditionalFormatting>
  <conditionalFormatting sqref="B6:E6">
    <cfRule type="cellIs" dxfId="14" priority="1" operator="notEqual">
      <formula>""</formula>
    </cfRule>
  </conditionalFormatting>
  <dataValidations count="3">
    <dataValidation type="list" errorStyle="warning" showInputMessage="1" showErrorMessage="1" errorTitle="COR NÃO CADASTRADA NA OP.!" error="Deseja continuar?" sqref="N1" xr:uid="{00000000-0002-0000-0500-000000000000}">
      <formula1>$U$13:$AD$13</formula1>
    </dataValidation>
    <dataValidation type="list" errorStyle="warning" showInputMessage="1" showErrorMessage="1" errorTitle="TAMANHO NÃO CADASTRADO NA OP.!" error="Deseja continuar?" sqref="N2" xr:uid="{00000000-0002-0000-0500-000001000000}">
      <formula1>$U$14:$AD$14</formula1>
    </dataValidation>
    <dataValidation type="list" showInputMessage="1" showErrorMessage="1" errorTitle="OP NÃO CADASTRADA!" error="Clique na célula para buscar uma OP já cadastrada ou cadastre esta nova OP." sqref="L1" xr:uid="{00000000-0002-0000-0500-000002000000}">
      <formula1>numero_ops</formula1>
    </dataValidation>
  </dataValidations>
  <printOptions horizontalCentered="1"/>
  <pageMargins left="0" right="0" top="0.39370078740157483" bottom="0.39370078740157483" header="0" footer="0"/>
  <pageSetup paperSize="9" scale="97" fitToHeight="0" orientation="portrait" blackAndWhite="1"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15361" r:id="rId4" name="Check Box 1">
              <controlPr defaultSize="0" print="0" autoFill="0" autoLine="0" autoPict="0">
                <anchor moveWithCells="1">
                  <from>
                    <xdr:col>15</xdr:col>
                    <xdr:colOff>66675</xdr:colOff>
                    <xdr:row>5</xdr:row>
                    <xdr:rowOff>9525</xdr:rowOff>
                  </from>
                  <to>
                    <xdr:col>15</xdr:col>
                    <xdr:colOff>771525</xdr:colOff>
                    <xdr:row>5</xdr:row>
                    <xdr:rowOff>228600</xdr:rowOff>
                  </to>
                </anchor>
              </controlPr>
            </control>
          </mc:Choice>
        </mc:AlternateContent>
        <mc:AlternateContent xmlns:mc="http://schemas.openxmlformats.org/markup-compatibility/2006">
          <mc:Choice Requires="x14">
            <control shapeId="15373" r:id="rId5" name="Check Box 13">
              <controlPr defaultSize="0" print="0" autoFill="0" autoLine="0" autoPict="0">
                <anchor moveWithCells="1">
                  <from>
                    <xdr:col>15</xdr:col>
                    <xdr:colOff>800100</xdr:colOff>
                    <xdr:row>5</xdr:row>
                    <xdr:rowOff>9525</xdr:rowOff>
                  </from>
                  <to>
                    <xdr:col>31</xdr:col>
                    <xdr:colOff>47625</xdr:colOff>
                    <xdr:row>5</xdr:row>
                    <xdr:rowOff>228600</xdr:rowOff>
                  </to>
                </anchor>
              </controlPr>
            </control>
          </mc:Choice>
        </mc:AlternateContent>
        <mc:AlternateContent xmlns:mc="http://schemas.openxmlformats.org/markup-compatibility/2006">
          <mc:Choice Requires="x14">
            <control shapeId="15384" r:id="rId6" name="Check Box 24">
              <controlPr defaultSize="0" print="0" autoFill="0" autoLine="0" autoPict="0">
                <anchor moveWithCells="1">
                  <from>
                    <xdr:col>9</xdr:col>
                    <xdr:colOff>85725</xdr:colOff>
                    <xdr:row>8</xdr:row>
                    <xdr:rowOff>66675</xdr:rowOff>
                  </from>
                  <to>
                    <xdr:col>10</xdr:col>
                    <xdr:colOff>266700</xdr:colOff>
                    <xdr:row>8</xdr:row>
                    <xdr:rowOff>285750</xdr:rowOff>
                  </to>
                </anchor>
              </controlPr>
            </control>
          </mc:Choice>
        </mc:AlternateContent>
        <mc:AlternateContent xmlns:mc="http://schemas.openxmlformats.org/markup-compatibility/2006">
          <mc:Choice Requires="x14">
            <control shapeId="15392" r:id="rId7" name="Check Box 32">
              <controlPr defaultSize="0" print="0" autoFill="0" autoLine="0" autoPict="0">
                <anchor moveWithCells="1">
                  <from>
                    <xdr:col>9</xdr:col>
                    <xdr:colOff>85725</xdr:colOff>
                    <xdr:row>9</xdr:row>
                    <xdr:rowOff>66675</xdr:rowOff>
                  </from>
                  <to>
                    <xdr:col>10</xdr:col>
                    <xdr:colOff>266700</xdr:colOff>
                    <xdr:row>9</xdr:row>
                    <xdr:rowOff>285750</xdr:rowOff>
                  </to>
                </anchor>
              </controlPr>
            </control>
          </mc:Choice>
        </mc:AlternateContent>
        <mc:AlternateContent xmlns:mc="http://schemas.openxmlformats.org/markup-compatibility/2006">
          <mc:Choice Requires="x14">
            <control shapeId="15393" r:id="rId8" name="Check Box 33">
              <controlPr defaultSize="0" print="0" autoFill="0" autoLine="0" autoPict="0">
                <anchor moveWithCells="1">
                  <from>
                    <xdr:col>9</xdr:col>
                    <xdr:colOff>85725</xdr:colOff>
                    <xdr:row>10</xdr:row>
                    <xdr:rowOff>66675</xdr:rowOff>
                  </from>
                  <to>
                    <xdr:col>10</xdr:col>
                    <xdr:colOff>266700</xdr:colOff>
                    <xdr:row>10</xdr:row>
                    <xdr:rowOff>285750</xdr:rowOff>
                  </to>
                </anchor>
              </controlPr>
            </control>
          </mc:Choice>
        </mc:AlternateContent>
        <mc:AlternateContent xmlns:mc="http://schemas.openxmlformats.org/markup-compatibility/2006">
          <mc:Choice Requires="x14">
            <control shapeId="15394" r:id="rId9" name="Check Box 34">
              <controlPr defaultSize="0" print="0" autoFill="0" autoLine="0" autoPict="0">
                <anchor moveWithCells="1">
                  <from>
                    <xdr:col>9</xdr:col>
                    <xdr:colOff>85725</xdr:colOff>
                    <xdr:row>11</xdr:row>
                    <xdr:rowOff>66675</xdr:rowOff>
                  </from>
                  <to>
                    <xdr:col>10</xdr:col>
                    <xdr:colOff>266700</xdr:colOff>
                    <xdr:row>11</xdr:row>
                    <xdr:rowOff>285750</xdr:rowOff>
                  </to>
                </anchor>
              </controlPr>
            </control>
          </mc:Choice>
        </mc:AlternateContent>
        <mc:AlternateContent xmlns:mc="http://schemas.openxmlformats.org/markup-compatibility/2006">
          <mc:Choice Requires="x14">
            <control shapeId="15395" r:id="rId10" name="Check Box 35">
              <controlPr defaultSize="0" print="0" autoFill="0" autoLine="0" autoPict="0">
                <anchor moveWithCells="1">
                  <from>
                    <xdr:col>9</xdr:col>
                    <xdr:colOff>85725</xdr:colOff>
                    <xdr:row>12</xdr:row>
                    <xdr:rowOff>66675</xdr:rowOff>
                  </from>
                  <to>
                    <xdr:col>10</xdr:col>
                    <xdr:colOff>266700</xdr:colOff>
                    <xdr:row>12</xdr:row>
                    <xdr:rowOff>285750</xdr:rowOff>
                  </to>
                </anchor>
              </controlPr>
            </control>
          </mc:Choice>
        </mc:AlternateContent>
        <mc:AlternateContent xmlns:mc="http://schemas.openxmlformats.org/markup-compatibility/2006">
          <mc:Choice Requires="x14">
            <control shapeId="15396" r:id="rId11" name="Check Box 36">
              <controlPr defaultSize="0" print="0" autoFill="0" autoLine="0" autoPict="0">
                <anchor moveWithCells="1">
                  <from>
                    <xdr:col>9</xdr:col>
                    <xdr:colOff>85725</xdr:colOff>
                    <xdr:row>13</xdr:row>
                    <xdr:rowOff>66675</xdr:rowOff>
                  </from>
                  <to>
                    <xdr:col>10</xdr:col>
                    <xdr:colOff>266700</xdr:colOff>
                    <xdr:row>13</xdr:row>
                    <xdr:rowOff>285750</xdr:rowOff>
                  </to>
                </anchor>
              </controlPr>
            </control>
          </mc:Choice>
        </mc:AlternateContent>
        <mc:AlternateContent xmlns:mc="http://schemas.openxmlformats.org/markup-compatibility/2006">
          <mc:Choice Requires="x14">
            <control shapeId="15397" r:id="rId12" name="Check Box 37">
              <controlPr defaultSize="0" print="0" autoFill="0" autoLine="0" autoPict="0">
                <anchor moveWithCells="1">
                  <from>
                    <xdr:col>9</xdr:col>
                    <xdr:colOff>85725</xdr:colOff>
                    <xdr:row>14</xdr:row>
                    <xdr:rowOff>66675</xdr:rowOff>
                  </from>
                  <to>
                    <xdr:col>10</xdr:col>
                    <xdr:colOff>266700</xdr:colOff>
                    <xdr:row>14</xdr:row>
                    <xdr:rowOff>285750</xdr:rowOff>
                  </to>
                </anchor>
              </controlPr>
            </control>
          </mc:Choice>
        </mc:AlternateContent>
        <mc:AlternateContent xmlns:mc="http://schemas.openxmlformats.org/markup-compatibility/2006">
          <mc:Choice Requires="x14">
            <control shapeId="15398" r:id="rId13" name="Check Box 38">
              <controlPr defaultSize="0" print="0" autoFill="0" autoLine="0" autoPict="0">
                <anchor moveWithCells="1">
                  <from>
                    <xdr:col>9</xdr:col>
                    <xdr:colOff>85725</xdr:colOff>
                    <xdr:row>15</xdr:row>
                    <xdr:rowOff>66675</xdr:rowOff>
                  </from>
                  <to>
                    <xdr:col>10</xdr:col>
                    <xdr:colOff>266700</xdr:colOff>
                    <xdr:row>15</xdr:row>
                    <xdr:rowOff>285750</xdr:rowOff>
                  </to>
                </anchor>
              </controlPr>
            </control>
          </mc:Choice>
        </mc:AlternateContent>
        <mc:AlternateContent xmlns:mc="http://schemas.openxmlformats.org/markup-compatibility/2006">
          <mc:Choice Requires="x14">
            <control shapeId="15399" r:id="rId14" name="Check Box 39">
              <controlPr defaultSize="0" print="0" autoFill="0" autoLine="0" autoPict="0">
                <anchor moveWithCells="1">
                  <from>
                    <xdr:col>9</xdr:col>
                    <xdr:colOff>85725</xdr:colOff>
                    <xdr:row>16</xdr:row>
                    <xdr:rowOff>66675</xdr:rowOff>
                  </from>
                  <to>
                    <xdr:col>10</xdr:col>
                    <xdr:colOff>266700</xdr:colOff>
                    <xdr:row>16</xdr:row>
                    <xdr:rowOff>285750</xdr:rowOff>
                  </to>
                </anchor>
              </controlPr>
            </control>
          </mc:Choice>
        </mc:AlternateContent>
        <mc:AlternateContent xmlns:mc="http://schemas.openxmlformats.org/markup-compatibility/2006">
          <mc:Choice Requires="x14">
            <control shapeId="15400" r:id="rId15" name="Check Box 40">
              <controlPr defaultSize="0" print="0" autoFill="0" autoLine="0" autoPict="0">
                <anchor moveWithCells="1">
                  <from>
                    <xdr:col>9</xdr:col>
                    <xdr:colOff>85725</xdr:colOff>
                    <xdr:row>17</xdr:row>
                    <xdr:rowOff>66675</xdr:rowOff>
                  </from>
                  <to>
                    <xdr:col>10</xdr:col>
                    <xdr:colOff>266700</xdr:colOff>
                    <xdr:row>17</xdr:row>
                    <xdr:rowOff>285750</xdr:rowOff>
                  </to>
                </anchor>
              </controlPr>
            </control>
          </mc:Choice>
        </mc:AlternateContent>
        <mc:AlternateContent xmlns:mc="http://schemas.openxmlformats.org/markup-compatibility/2006">
          <mc:Choice Requires="x14">
            <control shapeId="15511" r:id="rId16" name="Check Box 151">
              <controlPr defaultSize="0" print="0" autoFill="0" autoLine="0" autoPict="0">
                <anchor moveWithCells="1">
                  <from>
                    <xdr:col>9</xdr:col>
                    <xdr:colOff>85725</xdr:colOff>
                    <xdr:row>18</xdr:row>
                    <xdr:rowOff>66675</xdr:rowOff>
                  </from>
                  <to>
                    <xdr:col>10</xdr:col>
                    <xdr:colOff>266700</xdr:colOff>
                    <xdr:row>18</xdr:row>
                    <xdr:rowOff>285750</xdr:rowOff>
                  </to>
                </anchor>
              </controlPr>
            </control>
          </mc:Choice>
        </mc:AlternateContent>
        <mc:AlternateContent xmlns:mc="http://schemas.openxmlformats.org/markup-compatibility/2006">
          <mc:Choice Requires="x14">
            <control shapeId="15512" r:id="rId17" name="Check Box 152">
              <controlPr defaultSize="0" print="0" autoFill="0" autoLine="0" autoPict="0">
                <anchor moveWithCells="1">
                  <from>
                    <xdr:col>9</xdr:col>
                    <xdr:colOff>85725</xdr:colOff>
                    <xdr:row>19</xdr:row>
                    <xdr:rowOff>66675</xdr:rowOff>
                  </from>
                  <to>
                    <xdr:col>10</xdr:col>
                    <xdr:colOff>266700</xdr:colOff>
                    <xdr:row>19</xdr:row>
                    <xdr:rowOff>285750</xdr:rowOff>
                  </to>
                </anchor>
              </controlPr>
            </control>
          </mc:Choice>
        </mc:AlternateContent>
        <mc:AlternateContent xmlns:mc="http://schemas.openxmlformats.org/markup-compatibility/2006">
          <mc:Choice Requires="x14">
            <control shapeId="15513" r:id="rId18" name="Check Box 153">
              <controlPr defaultSize="0" print="0" autoFill="0" autoLine="0" autoPict="0">
                <anchor moveWithCells="1">
                  <from>
                    <xdr:col>9</xdr:col>
                    <xdr:colOff>85725</xdr:colOff>
                    <xdr:row>20</xdr:row>
                    <xdr:rowOff>66675</xdr:rowOff>
                  </from>
                  <to>
                    <xdr:col>10</xdr:col>
                    <xdr:colOff>266700</xdr:colOff>
                    <xdr:row>20</xdr:row>
                    <xdr:rowOff>285750</xdr:rowOff>
                  </to>
                </anchor>
              </controlPr>
            </control>
          </mc:Choice>
        </mc:AlternateContent>
        <mc:AlternateContent xmlns:mc="http://schemas.openxmlformats.org/markup-compatibility/2006">
          <mc:Choice Requires="x14">
            <control shapeId="15514" r:id="rId19" name="Check Box 154">
              <controlPr defaultSize="0" print="0" autoFill="0" autoLine="0" autoPict="0">
                <anchor moveWithCells="1">
                  <from>
                    <xdr:col>9</xdr:col>
                    <xdr:colOff>85725</xdr:colOff>
                    <xdr:row>21</xdr:row>
                    <xdr:rowOff>66675</xdr:rowOff>
                  </from>
                  <to>
                    <xdr:col>10</xdr:col>
                    <xdr:colOff>266700</xdr:colOff>
                    <xdr:row>21</xdr:row>
                    <xdr:rowOff>285750</xdr:rowOff>
                  </to>
                </anchor>
              </controlPr>
            </control>
          </mc:Choice>
        </mc:AlternateContent>
        <mc:AlternateContent xmlns:mc="http://schemas.openxmlformats.org/markup-compatibility/2006">
          <mc:Choice Requires="x14">
            <control shapeId="15515" r:id="rId20" name="Check Box 155">
              <controlPr defaultSize="0" print="0" autoFill="0" autoLine="0" autoPict="0">
                <anchor moveWithCells="1">
                  <from>
                    <xdr:col>9</xdr:col>
                    <xdr:colOff>85725</xdr:colOff>
                    <xdr:row>22</xdr:row>
                    <xdr:rowOff>66675</xdr:rowOff>
                  </from>
                  <to>
                    <xdr:col>10</xdr:col>
                    <xdr:colOff>266700</xdr:colOff>
                    <xdr:row>22</xdr:row>
                    <xdr:rowOff>285750</xdr:rowOff>
                  </to>
                </anchor>
              </controlPr>
            </control>
          </mc:Choice>
        </mc:AlternateContent>
        <mc:AlternateContent xmlns:mc="http://schemas.openxmlformats.org/markup-compatibility/2006">
          <mc:Choice Requires="x14">
            <control shapeId="15516" r:id="rId21" name="Check Box 156">
              <controlPr defaultSize="0" print="0" autoFill="0" autoLine="0" autoPict="0">
                <anchor moveWithCells="1">
                  <from>
                    <xdr:col>9</xdr:col>
                    <xdr:colOff>85725</xdr:colOff>
                    <xdr:row>23</xdr:row>
                    <xdr:rowOff>66675</xdr:rowOff>
                  </from>
                  <to>
                    <xdr:col>10</xdr:col>
                    <xdr:colOff>266700</xdr:colOff>
                    <xdr:row>23</xdr:row>
                    <xdr:rowOff>285750</xdr:rowOff>
                  </to>
                </anchor>
              </controlPr>
            </control>
          </mc:Choice>
        </mc:AlternateContent>
        <mc:AlternateContent xmlns:mc="http://schemas.openxmlformats.org/markup-compatibility/2006">
          <mc:Choice Requires="x14">
            <control shapeId="15517" r:id="rId22" name="Check Box 157">
              <controlPr defaultSize="0" print="0" autoFill="0" autoLine="0" autoPict="0">
                <anchor moveWithCells="1">
                  <from>
                    <xdr:col>9</xdr:col>
                    <xdr:colOff>85725</xdr:colOff>
                    <xdr:row>24</xdr:row>
                    <xdr:rowOff>66675</xdr:rowOff>
                  </from>
                  <to>
                    <xdr:col>10</xdr:col>
                    <xdr:colOff>266700</xdr:colOff>
                    <xdr:row>24</xdr:row>
                    <xdr:rowOff>285750</xdr:rowOff>
                  </to>
                </anchor>
              </controlPr>
            </control>
          </mc:Choice>
        </mc:AlternateContent>
        <mc:AlternateContent xmlns:mc="http://schemas.openxmlformats.org/markup-compatibility/2006">
          <mc:Choice Requires="x14">
            <control shapeId="15518" r:id="rId23" name="Check Box 158">
              <controlPr defaultSize="0" print="0" autoFill="0" autoLine="0" autoPict="0">
                <anchor moveWithCells="1">
                  <from>
                    <xdr:col>9</xdr:col>
                    <xdr:colOff>85725</xdr:colOff>
                    <xdr:row>25</xdr:row>
                    <xdr:rowOff>66675</xdr:rowOff>
                  </from>
                  <to>
                    <xdr:col>10</xdr:col>
                    <xdr:colOff>266700</xdr:colOff>
                    <xdr:row>25</xdr:row>
                    <xdr:rowOff>285750</xdr:rowOff>
                  </to>
                </anchor>
              </controlPr>
            </control>
          </mc:Choice>
        </mc:AlternateContent>
        <mc:AlternateContent xmlns:mc="http://schemas.openxmlformats.org/markup-compatibility/2006">
          <mc:Choice Requires="x14">
            <control shapeId="15519" r:id="rId24" name="Check Box 159">
              <controlPr defaultSize="0" print="0" autoFill="0" autoLine="0" autoPict="0">
                <anchor moveWithCells="1">
                  <from>
                    <xdr:col>9</xdr:col>
                    <xdr:colOff>85725</xdr:colOff>
                    <xdr:row>26</xdr:row>
                    <xdr:rowOff>66675</xdr:rowOff>
                  </from>
                  <to>
                    <xdr:col>10</xdr:col>
                    <xdr:colOff>266700</xdr:colOff>
                    <xdr:row>26</xdr:row>
                    <xdr:rowOff>285750</xdr:rowOff>
                  </to>
                </anchor>
              </controlPr>
            </control>
          </mc:Choice>
        </mc:AlternateContent>
        <mc:AlternateContent xmlns:mc="http://schemas.openxmlformats.org/markup-compatibility/2006">
          <mc:Choice Requires="x14">
            <control shapeId="15520" r:id="rId25" name="Check Box 160">
              <controlPr defaultSize="0" print="0" autoFill="0" autoLine="0" autoPict="0">
                <anchor moveWithCells="1">
                  <from>
                    <xdr:col>9</xdr:col>
                    <xdr:colOff>85725</xdr:colOff>
                    <xdr:row>27</xdr:row>
                    <xdr:rowOff>66675</xdr:rowOff>
                  </from>
                  <to>
                    <xdr:col>10</xdr:col>
                    <xdr:colOff>266700</xdr:colOff>
                    <xdr:row>27</xdr:row>
                    <xdr:rowOff>285750</xdr:rowOff>
                  </to>
                </anchor>
              </controlPr>
            </control>
          </mc:Choice>
        </mc:AlternateContent>
        <mc:AlternateContent xmlns:mc="http://schemas.openxmlformats.org/markup-compatibility/2006">
          <mc:Choice Requires="x14">
            <control shapeId="15521" r:id="rId26" name="Check Box 161">
              <controlPr defaultSize="0" print="0" autoFill="0" autoLine="0" autoPict="0">
                <anchor moveWithCells="1">
                  <from>
                    <xdr:col>9</xdr:col>
                    <xdr:colOff>85725</xdr:colOff>
                    <xdr:row>28</xdr:row>
                    <xdr:rowOff>66675</xdr:rowOff>
                  </from>
                  <to>
                    <xdr:col>10</xdr:col>
                    <xdr:colOff>266700</xdr:colOff>
                    <xdr:row>28</xdr:row>
                    <xdr:rowOff>285750</xdr:rowOff>
                  </to>
                </anchor>
              </controlPr>
            </control>
          </mc:Choice>
        </mc:AlternateContent>
        <mc:AlternateContent xmlns:mc="http://schemas.openxmlformats.org/markup-compatibility/2006">
          <mc:Choice Requires="x14">
            <control shapeId="15522" r:id="rId27" name="Check Box 162">
              <controlPr defaultSize="0" print="0" autoFill="0" autoLine="0" autoPict="0">
                <anchor moveWithCells="1">
                  <from>
                    <xdr:col>9</xdr:col>
                    <xdr:colOff>85725</xdr:colOff>
                    <xdr:row>29</xdr:row>
                    <xdr:rowOff>66675</xdr:rowOff>
                  </from>
                  <to>
                    <xdr:col>10</xdr:col>
                    <xdr:colOff>266700</xdr:colOff>
                    <xdr:row>29</xdr:row>
                    <xdr:rowOff>285750</xdr:rowOff>
                  </to>
                </anchor>
              </controlPr>
            </control>
          </mc:Choice>
        </mc:AlternateContent>
        <mc:AlternateContent xmlns:mc="http://schemas.openxmlformats.org/markup-compatibility/2006">
          <mc:Choice Requires="x14">
            <control shapeId="15523" r:id="rId28" name="Check Box 163">
              <controlPr defaultSize="0" print="0" autoFill="0" autoLine="0" autoPict="0">
                <anchor moveWithCells="1">
                  <from>
                    <xdr:col>9</xdr:col>
                    <xdr:colOff>85725</xdr:colOff>
                    <xdr:row>30</xdr:row>
                    <xdr:rowOff>66675</xdr:rowOff>
                  </from>
                  <to>
                    <xdr:col>10</xdr:col>
                    <xdr:colOff>266700</xdr:colOff>
                    <xdr:row>30</xdr:row>
                    <xdr:rowOff>285750</xdr:rowOff>
                  </to>
                </anchor>
              </controlPr>
            </control>
          </mc:Choice>
        </mc:AlternateContent>
        <mc:AlternateContent xmlns:mc="http://schemas.openxmlformats.org/markup-compatibility/2006">
          <mc:Choice Requires="x14">
            <control shapeId="15524" r:id="rId29" name="Check Box 164">
              <controlPr defaultSize="0" print="0" autoFill="0" autoLine="0" autoPict="0">
                <anchor moveWithCells="1">
                  <from>
                    <xdr:col>9</xdr:col>
                    <xdr:colOff>85725</xdr:colOff>
                    <xdr:row>31</xdr:row>
                    <xdr:rowOff>66675</xdr:rowOff>
                  </from>
                  <to>
                    <xdr:col>10</xdr:col>
                    <xdr:colOff>266700</xdr:colOff>
                    <xdr:row>31</xdr:row>
                    <xdr:rowOff>285750</xdr:rowOff>
                  </to>
                </anchor>
              </controlPr>
            </control>
          </mc:Choice>
        </mc:AlternateContent>
        <mc:AlternateContent xmlns:mc="http://schemas.openxmlformats.org/markup-compatibility/2006">
          <mc:Choice Requires="x14">
            <control shapeId="15525" r:id="rId30" name="Check Box 165">
              <controlPr defaultSize="0" print="0" autoFill="0" autoLine="0" autoPict="0">
                <anchor moveWithCells="1">
                  <from>
                    <xdr:col>9</xdr:col>
                    <xdr:colOff>85725</xdr:colOff>
                    <xdr:row>32</xdr:row>
                    <xdr:rowOff>66675</xdr:rowOff>
                  </from>
                  <to>
                    <xdr:col>10</xdr:col>
                    <xdr:colOff>266700</xdr:colOff>
                    <xdr:row>32</xdr:row>
                    <xdr:rowOff>285750</xdr:rowOff>
                  </to>
                </anchor>
              </controlPr>
            </control>
          </mc:Choice>
        </mc:AlternateContent>
        <mc:AlternateContent xmlns:mc="http://schemas.openxmlformats.org/markup-compatibility/2006">
          <mc:Choice Requires="x14">
            <control shapeId="15526" r:id="rId31" name="Check Box 166">
              <controlPr defaultSize="0" print="0" autoFill="0" autoLine="0" autoPict="0">
                <anchor moveWithCells="1">
                  <from>
                    <xdr:col>9</xdr:col>
                    <xdr:colOff>85725</xdr:colOff>
                    <xdr:row>33</xdr:row>
                    <xdr:rowOff>66675</xdr:rowOff>
                  </from>
                  <to>
                    <xdr:col>10</xdr:col>
                    <xdr:colOff>266700</xdr:colOff>
                    <xdr:row>33</xdr:row>
                    <xdr:rowOff>285750</xdr:rowOff>
                  </to>
                </anchor>
              </controlPr>
            </control>
          </mc:Choice>
        </mc:AlternateContent>
        <mc:AlternateContent xmlns:mc="http://schemas.openxmlformats.org/markup-compatibility/2006">
          <mc:Choice Requires="x14">
            <control shapeId="15527" r:id="rId32" name="Check Box 167">
              <controlPr defaultSize="0" print="0" autoFill="0" autoLine="0" autoPict="0">
                <anchor moveWithCells="1">
                  <from>
                    <xdr:col>9</xdr:col>
                    <xdr:colOff>85725</xdr:colOff>
                    <xdr:row>34</xdr:row>
                    <xdr:rowOff>66675</xdr:rowOff>
                  </from>
                  <to>
                    <xdr:col>10</xdr:col>
                    <xdr:colOff>266700</xdr:colOff>
                    <xdr:row>34</xdr:row>
                    <xdr:rowOff>285750</xdr:rowOff>
                  </to>
                </anchor>
              </controlPr>
            </control>
          </mc:Choice>
        </mc:AlternateContent>
        <mc:AlternateContent xmlns:mc="http://schemas.openxmlformats.org/markup-compatibility/2006">
          <mc:Choice Requires="x14">
            <control shapeId="15528" r:id="rId33" name="Check Box 168">
              <controlPr defaultSize="0" print="0" autoFill="0" autoLine="0" autoPict="0">
                <anchor moveWithCells="1">
                  <from>
                    <xdr:col>9</xdr:col>
                    <xdr:colOff>85725</xdr:colOff>
                    <xdr:row>35</xdr:row>
                    <xdr:rowOff>66675</xdr:rowOff>
                  </from>
                  <to>
                    <xdr:col>10</xdr:col>
                    <xdr:colOff>266700</xdr:colOff>
                    <xdr:row>35</xdr:row>
                    <xdr:rowOff>285750</xdr:rowOff>
                  </to>
                </anchor>
              </controlPr>
            </control>
          </mc:Choice>
        </mc:AlternateContent>
        <mc:AlternateContent xmlns:mc="http://schemas.openxmlformats.org/markup-compatibility/2006">
          <mc:Choice Requires="x14">
            <control shapeId="15529" r:id="rId34" name="Check Box 169">
              <controlPr defaultSize="0" print="0" autoFill="0" autoLine="0" autoPict="0">
                <anchor moveWithCells="1">
                  <from>
                    <xdr:col>9</xdr:col>
                    <xdr:colOff>85725</xdr:colOff>
                    <xdr:row>36</xdr:row>
                    <xdr:rowOff>66675</xdr:rowOff>
                  </from>
                  <to>
                    <xdr:col>10</xdr:col>
                    <xdr:colOff>266700</xdr:colOff>
                    <xdr:row>36</xdr:row>
                    <xdr:rowOff>285750</xdr:rowOff>
                  </to>
                </anchor>
              </controlPr>
            </control>
          </mc:Choice>
        </mc:AlternateContent>
        <mc:AlternateContent xmlns:mc="http://schemas.openxmlformats.org/markup-compatibility/2006">
          <mc:Choice Requires="x14">
            <control shapeId="15530" r:id="rId35" name="Check Box 170">
              <controlPr defaultSize="0" print="0" autoFill="0" autoLine="0" autoPict="0">
                <anchor moveWithCells="1">
                  <from>
                    <xdr:col>9</xdr:col>
                    <xdr:colOff>85725</xdr:colOff>
                    <xdr:row>37</xdr:row>
                    <xdr:rowOff>66675</xdr:rowOff>
                  </from>
                  <to>
                    <xdr:col>10</xdr:col>
                    <xdr:colOff>266700</xdr:colOff>
                    <xdr:row>37</xdr:row>
                    <xdr:rowOff>285750</xdr:rowOff>
                  </to>
                </anchor>
              </controlPr>
            </control>
          </mc:Choice>
        </mc:AlternateContent>
        <mc:AlternateContent xmlns:mc="http://schemas.openxmlformats.org/markup-compatibility/2006">
          <mc:Choice Requires="x14">
            <control shapeId="15531" r:id="rId36" name="Check Box 171">
              <controlPr defaultSize="0" print="0" autoFill="0" autoLine="0" autoPict="0">
                <anchor moveWithCells="1">
                  <from>
                    <xdr:col>9</xdr:col>
                    <xdr:colOff>85725</xdr:colOff>
                    <xdr:row>38</xdr:row>
                    <xdr:rowOff>66675</xdr:rowOff>
                  </from>
                  <to>
                    <xdr:col>10</xdr:col>
                    <xdr:colOff>266700</xdr:colOff>
                    <xdr:row>38</xdr:row>
                    <xdr:rowOff>285750</xdr:rowOff>
                  </to>
                </anchor>
              </controlPr>
            </control>
          </mc:Choice>
        </mc:AlternateContent>
        <mc:AlternateContent xmlns:mc="http://schemas.openxmlformats.org/markup-compatibility/2006">
          <mc:Choice Requires="x14">
            <control shapeId="15532" r:id="rId37" name="Check Box 172">
              <controlPr defaultSize="0" print="0" autoFill="0" autoLine="0" autoPict="0">
                <anchor moveWithCells="1">
                  <from>
                    <xdr:col>9</xdr:col>
                    <xdr:colOff>85725</xdr:colOff>
                    <xdr:row>39</xdr:row>
                    <xdr:rowOff>66675</xdr:rowOff>
                  </from>
                  <to>
                    <xdr:col>10</xdr:col>
                    <xdr:colOff>266700</xdr:colOff>
                    <xdr:row>39</xdr:row>
                    <xdr:rowOff>285750</xdr:rowOff>
                  </to>
                </anchor>
              </controlPr>
            </control>
          </mc:Choice>
        </mc:AlternateContent>
        <mc:AlternateContent xmlns:mc="http://schemas.openxmlformats.org/markup-compatibility/2006">
          <mc:Choice Requires="x14">
            <control shapeId="15533" r:id="rId38" name="Check Box 173">
              <controlPr defaultSize="0" print="0" autoFill="0" autoLine="0" autoPict="0">
                <anchor moveWithCells="1">
                  <from>
                    <xdr:col>9</xdr:col>
                    <xdr:colOff>85725</xdr:colOff>
                    <xdr:row>40</xdr:row>
                    <xdr:rowOff>66675</xdr:rowOff>
                  </from>
                  <to>
                    <xdr:col>10</xdr:col>
                    <xdr:colOff>266700</xdr:colOff>
                    <xdr:row>40</xdr:row>
                    <xdr:rowOff>285750</xdr:rowOff>
                  </to>
                </anchor>
              </controlPr>
            </control>
          </mc:Choice>
        </mc:AlternateContent>
        <mc:AlternateContent xmlns:mc="http://schemas.openxmlformats.org/markup-compatibility/2006">
          <mc:Choice Requires="x14">
            <control shapeId="15534" r:id="rId39" name="Check Box 174">
              <controlPr defaultSize="0" print="0" autoFill="0" autoLine="0" autoPict="0">
                <anchor moveWithCells="1">
                  <from>
                    <xdr:col>9</xdr:col>
                    <xdr:colOff>85725</xdr:colOff>
                    <xdr:row>41</xdr:row>
                    <xdr:rowOff>66675</xdr:rowOff>
                  </from>
                  <to>
                    <xdr:col>10</xdr:col>
                    <xdr:colOff>266700</xdr:colOff>
                    <xdr:row>41</xdr:row>
                    <xdr:rowOff>285750</xdr:rowOff>
                  </to>
                </anchor>
              </controlPr>
            </control>
          </mc:Choice>
        </mc:AlternateContent>
        <mc:AlternateContent xmlns:mc="http://schemas.openxmlformats.org/markup-compatibility/2006">
          <mc:Choice Requires="x14">
            <control shapeId="15535" r:id="rId40" name="Check Box 175">
              <controlPr defaultSize="0" print="0" autoFill="0" autoLine="0" autoPict="0">
                <anchor moveWithCells="1">
                  <from>
                    <xdr:col>9</xdr:col>
                    <xdr:colOff>85725</xdr:colOff>
                    <xdr:row>42</xdr:row>
                    <xdr:rowOff>66675</xdr:rowOff>
                  </from>
                  <to>
                    <xdr:col>10</xdr:col>
                    <xdr:colOff>266700</xdr:colOff>
                    <xdr:row>42</xdr:row>
                    <xdr:rowOff>285750</xdr:rowOff>
                  </to>
                </anchor>
              </controlPr>
            </control>
          </mc:Choice>
        </mc:AlternateContent>
        <mc:AlternateContent xmlns:mc="http://schemas.openxmlformats.org/markup-compatibility/2006">
          <mc:Choice Requires="x14">
            <control shapeId="15536" r:id="rId41" name="Check Box 176">
              <controlPr defaultSize="0" print="0" autoFill="0" autoLine="0" autoPict="0">
                <anchor moveWithCells="1">
                  <from>
                    <xdr:col>9</xdr:col>
                    <xdr:colOff>85725</xdr:colOff>
                    <xdr:row>43</xdr:row>
                    <xdr:rowOff>66675</xdr:rowOff>
                  </from>
                  <to>
                    <xdr:col>10</xdr:col>
                    <xdr:colOff>266700</xdr:colOff>
                    <xdr:row>43</xdr:row>
                    <xdr:rowOff>285750</xdr:rowOff>
                  </to>
                </anchor>
              </controlPr>
            </control>
          </mc:Choice>
        </mc:AlternateContent>
        <mc:AlternateContent xmlns:mc="http://schemas.openxmlformats.org/markup-compatibility/2006">
          <mc:Choice Requires="x14">
            <control shapeId="15537" r:id="rId42" name="Check Box 177">
              <controlPr defaultSize="0" print="0" autoFill="0" autoLine="0" autoPict="0">
                <anchor moveWithCells="1">
                  <from>
                    <xdr:col>9</xdr:col>
                    <xdr:colOff>85725</xdr:colOff>
                    <xdr:row>44</xdr:row>
                    <xdr:rowOff>66675</xdr:rowOff>
                  </from>
                  <to>
                    <xdr:col>10</xdr:col>
                    <xdr:colOff>266700</xdr:colOff>
                    <xdr:row>44</xdr:row>
                    <xdr:rowOff>285750</xdr:rowOff>
                  </to>
                </anchor>
              </controlPr>
            </control>
          </mc:Choice>
        </mc:AlternateContent>
        <mc:AlternateContent xmlns:mc="http://schemas.openxmlformats.org/markup-compatibility/2006">
          <mc:Choice Requires="x14">
            <control shapeId="15538" r:id="rId43" name="Check Box 178">
              <controlPr defaultSize="0" print="0" autoFill="0" autoLine="0" autoPict="0">
                <anchor moveWithCells="1">
                  <from>
                    <xdr:col>9</xdr:col>
                    <xdr:colOff>85725</xdr:colOff>
                    <xdr:row>45</xdr:row>
                    <xdr:rowOff>66675</xdr:rowOff>
                  </from>
                  <to>
                    <xdr:col>10</xdr:col>
                    <xdr:colOff>266700</xdr:colOff>
                    <xdr:row>45</xdr:row>
                    <xdr:rowOff>285750</xdr:rowOff>
                  </to>
                </anchor>
              </controlPr>
            </control>
          </mc:Choice>
        </mc:AlternateContent>
        <mc:AlternateContent xmlns:mc="http://schemas.openxmlformats.org/markup-compatibility/2006">
          <mc:Choice Requires="x14">
            <control shapeId="15539" r:id="rId44" name="Check Box 179">
              <controlPr defaultSize="0" print="0" autoFill="0" autoLine="0" autoPict="0">
                <anchor moveWithCells="1">
                  <from>
                    <xdr:col>9</xdr:col>
                    <xdr:colOff>85725</xdr:colOff>
                    <xdr:row>46</xdr:row>
                    <xdr:rowOff>66675</xdr:rowOff>
                  </from>
                  <to>
                    <xdr:col>10</xdr:col>
                    <xdr:colOff>266700</xdr:colOff>
                    <xdr:row>46</xdr:row>
                    <xdr:rowOff>285750</xdr:rowOff>
                  </to>
                </anchor>
              </controlPr>
            </control>
          </mc:Choice>
        </mc:AlternateContent>
        <mc:AlternateContent xmlns:mc="http://schemas.openxmlformats.org/markup-compatibility/2006">
          <mc:Choice Requires="x14">
            <control shapeId="15540" r:id="rId45" name="Check Box 180">
              <controlPr defaultSize="0" print="0" autoFill="0" autoLine="0" autoPict="0">
                <anchor moveWithCells="1">
                  <from>
                    <xdr:col>9</xdr:col>
                    <xdr:colOff>85725</xdr:colOff>
                    <xdr:row>47</xdr:row>
                    <xdr:rowOff>66675</xdr:rowOff>
                  </from>
                  <to>
                    <xdr:col>10</xdr:col>
                    <xdr:colOff>266700</xdr:colOff>
                    <xdr:row>47</xdr:row>
                    <xdr:rowOff>285750</xdr:rowOff>
                  </to>
                </anchor>
              </controlPr>
            </control>
          </mc:Choice>
        </mc:AlternateContent>
        <mc:AlternateContent xmlns:mc="http://schemas.openxmlformats.org/markup-compatibility/2006">
          <mc:Choice Requires="x14">
            <control shapeId="15541" r:id="rId46" name="Check Box 181">
              <controlPr defaultSize="0" print="0" autoFill="0" autoLine="0" autoPict="0">
                <anchor moveWithCells="1">
                  <from>
                    <xdr:col>9</xdr:col>
                    <xdr:colOff>85725</xdr:colOff>
                    <xdr:row>48</xdr:row>
                    <xdr:rowOff>66675</xdr:rowOff>
                  </from>
                  <to>
                    <xdr:col>10</xdr:col>
                    <xdr:colOff>266700</xdr:colOff>
                    <xdr:row>48</xdr:row>
                    <xdr:rowOff>285750</xdr:rowOff>
                  </to>
                </anchor>
              </controlPr>
            </control>
          </mc:Choice>
        </mc:AlternateContent>
        <mc:AlternateContent xmlns:mc="http://schemas.openxmlformats.org/markup-compatibility/2006">
          <mc:Choice Requires="x14">
            <control shapeId="15542" r:id="rId47" name="Check Box 182">
              <controlPr defaultSize="0" print="0" autoFill="0" autoLine="0" autoPict="0">
                <anchor moveWithCells="1">
                  <from>
                    <xdr:col>9</xdr:col>
                    <xdr:colOff>85725</xdr:colOff>
                    <xdr:row>49</xdr:row>
                    <xdr:rowOff>66675</xdr:rowOff>
                  </from>
                  <to>
                    <xdr:col>10</xdr:col>
                    <xdr:colOff>266700</xdr:colOff>
                    <xdr:row>49</xdr:row>
                    <xdr:rowOff>285750</xdr:rowOff>
                  </to>
                </anchor>
              </controlPr>
            </control>
          </mc:Choice>
        </mc:AlternateContent>
        <mc:AlternateContent xmlns:mc="http://schemas.openxmlformats.org/markup-compatibility/2006">
          <mc:Choice Requires="x14">
            <control shapeId="15543" r:id="rId48" name="Check Box 183">
              <controlPr defaultSize="0" print="0" autoFill="0" autoLine="0" autoPict="0">
                <anchor moveWithCells="1">
                  <from>
                    <xdr:col>9</xdr:col>
                    <xdr:colOff>85725</xdr:colOff>
                    <xdr:row>50</xdr:row>
                    <xdr:rowOff>66675</xdr:rowOff>
                  </from>
                  <to>
                    <xdr:col>10</xdr:col>
                    <xdr:colOff>266700</xdr:colOff>
                    <xdr:row>50</xdr:row>
                    <xdr:rowOff>285750</xdr:rowOff>
                  </to>
                </anchor>
              </controlPr>
            </control>
          </mc:Choice>
        </mc:AlternateContent>
        <mc:AlternateContent xmlns:mc="http://schemas.openxmlformats.org/markup-compatibility/2006">
          <mc:Choice Requires="x14">
            <control shapeId="15544" r:id="rId49" name="Check Box 184">
              <controlPr defaultSize="0" print="0" autoFill="0" autoLine="0" autoPict="0">
                <anchor moveWithCells="1">
                  <from>
                    <xdr:col>9</xdr:col>
                    <xdr:colOff>85725</xdr:colOff>
                    <xdr:row>51</xdr:row>
                    <xdr:rowOff>66675</xdr:rowOff>
                  </from>
                  <to>
                    <xdr:col>10</xdr:col>
                    <xdr:colOff>266700</xdr:colOff>
                    <xdr:row>51</xdr:row>
                    <xdr:rowOff>285750</xdr:rowOff>
                  </to>
                </anchor>
              </controlPr>
            </control>
          </mc:Choice>
        </mc:AlternateContent>
        <mc:AlternateContent xmlns:mc="http://schemas.openxmlformats.org/markup-compatibility/2006">
          <mc:Choice Requires="x14">
            <control shapeId="15545" r:id="rId50" name="Check Box 185">
              <controlPr defaultSize="0" print="0" autoFill="0" autoLine="0" autoPict="0">
                <anchor moveWithCells="1">
                  <from>
                    <xdr:col>9</xdr:col>
                    <xdr:colOff>85725</xdr:colOff>
                    <xdr:row>52</xdr:row>
                    <xdr:rowOff>66675</xdr:rowOff>
                  </from>
                  <to>
                    <xdr:col>10</xdr:col>
                    <xdr:colOff>266700</xdr:colOff>
                    <xdr:row>52</xdr:row>
                    <xdr:rowOff>285750</xdr:rowOff>
                  </to>
                </anchor>
              </controlPr>
            </control>
          </mc:Choice>
        </mc:AlternateContent>
        <mc:AlternateContent xmlns:mc="http://schemas.openxmlformats.org/markup-compatibility/2006">
          <mc:Choice Requires="x14">
            <control shapeId="15546" r:id="rId51" name="Check Box 186">
              <controlPr defaultSize="0" print="0" autoFill="0" autoLine="0" autoPict="0">
                <anchor moveWithCells="1">
                  <from>
                    <xdr:col>9</xdr:col>
                    <xdr:colOff>85725</xdr:colOff>
                    <xdr:row>53</xdr:row>
                    <xdr:rowOff>66675</xdr:rowOff>
                  </from>
                  <to>
                    <xdr:col>10</xdr:col>
                    <xdr:colOff>266700</xdr:colOff>
                    <xdr:row>53</xdr:row>
                    <xdr:rowOff>285750</xdr:rowOff>
                  </to>
                </anchor>
              </controlPr>
            </control>
          </mc:Choice>
        </mc:AlternateContent>
        <mc:AlternateContent xmlns:mc="http://schemas.openxmlformats.org/markup-compatibility/2006">
          <mc:Choice Requires="x14">
            <control shapeId="15547" r:id="rId52" name="Check Box 187">
              <controlPr defaultSize="0" print="0" autoFill="0" autoLine="0" autoPict="0">
                <anchor moveWithCells="1">
                  <from>
                    <xdr:col>9</xdr:col>
                    <xdr:colOff>85725</xdr:colOff>
                    <xdr:row>54</xdr:row>
                    <xdr:rowOff>66675</xdr:rowOff>
                  </from>
                  <to>
                    <xdr:col>10</xdr:col>
                    <xdr:colOff>266700</xdr:colOff>
                    <xdr:row>54</xdr:row>
                    <xdr:rowOff>285750</xdr:rowOff>
                  </to>
                </anchor>
              </controlPr>
            </control>
          </mc:Choice>
        </mc:AlternateContent>
        <mc:AlternateContent xmlns:mc="http://schemas.openxmlformats.org/markup-compatibility/2006">
          <mc:Choice Requires="x14">
            <control shapeId="15548" r:id="rId53" name="Check Box 188">
              <controlPr defaultSize="0" print="0" autoFill="0" autoLine="0" autoPict="0">
                <anchor moveWithCells="1">
                  <from>
                    <xdr:col>9</xdr:col>
                    <xdr:colOff>85725</xdr:colOff>
                    <xdr:row>55</xdr:row>
                    <xdr:rowOff>66675</xdr:rowOff>
                  </from>
                  <to>
                    <xdr:col>10</xdr:col>
                    <xdr:colOff>266700</xdr:colOff>
                    <xdr:row>55</xdr:row>
                    <xdr:rowOff>285750</xdr:rowOff>
                  </to>
                </anchor>
              </controlPr>
            </control>
          </mc:Choice>
        </mc:AlternateContent>
        <mc:AlternateContent xmlns:mc="http://schemas.openxmlformats.org/markup-compatibility/2006">
          <mc:Choice Requires="x14">
            <control shapeId="15549" r:id="rId54" name="Check Box 189">
              <controlPr defaultSize="0" print="0" autoFill="0" autoLine="0" autoPict="0">
                <anchor moveWithCells="1">
                  <from>
                    <xdr:col>9</xdr:col>
                    <xdr:colOff>85725</xdr:colOff>
                    <xdr:row>56</xdr:row>
                    <xdr:rowOff>66675</xdr:rowOff>
                  </from>
                  <to>
                    <xdr:col>10</xdr:col>
                    <xdr:colOff>266700</xdr:colOff>
                    <xdr:row>56</xdr:row>
                    <xdr:rowOff>285750</xdr:rowOff>
                  </to>
                </anchor>
              </controlPr>
            </control>
          </mc:Choice>
        </mc:AlternateContent>
        <mc:AlternateContent xmlns:mc="http://schemas.openxmlformats.org/markup-compatibility/2006">
          <mc:Choice Requires="x14">
            <control shapeId="15550" r:id="rId55" name="Check Box 190">
              <controlPr defaultSize="0" print="0" autoFill="0" autoLine="0" autoPict="0">
                <anchor moveWithCells="1">
                  <from>
                    <xdr:col>9</xdr:col>
                    <xdr:colOff>85725</xdr:colOff>
                    <xdr:row>57</xdr:row>
                    <xdr:rowOff>66675</xdr:rowOff>
                  </from>
                  <to>
                    <xdr:col>10</xdr:col>
                    <xdr:colOff>266700</xdr:colOff>
                    <xdr:row>57</xdr:row>
                    <xdr:rowOff>285750</xdr:rowOff>
                  </to>
                </anchor>
              </controlPr>
            </control>
          </mc:Choice>
        </mc:AlternateContent>
        <mc:AlternateContent xmlns:mc="http://schemas.openxmlformats.org/markup-compatibility/2006">
          <mc:Choice Requires="x14">
            <control shapeId="15551" r:id="rId56" name="Check Box 191">
              <controlPr defaultSize="0" print="0" autoFill="0" autoLine="0" autoPict="0">
                <anchor moveWithCells="1">
                  <from>
                    <xdr:col>9</xdr:col>
                    <xdr:colOff>85725</xdr:colOff>
                    <xdr:row>58</xdr:row>
                    <xdr:rowOff>66675</xdr:rowOff>
                  </from>
                  <to>
                    <xdr:col>10</xdr:col>
                    <xdr:colOff>266700</xdr:colOff>
                    <xdr:row>58</xdr:row>
                    <xdr:rowOff>285750</xdr:rowOff>
                  </to>
                </anchor>
              </controlPr>
            </control>
          </mc:Choice>
        </mc:AlternateContent>
        <mc:AlternateContent xmlns:mc="http://schemas.openxmlformats.org/markup-compatibility/2006">
          <mc:Choice Requires="x14">
            <control shapeId="15552" r:id="rId57" name="Check Box 192">
              <controlPr defaultSize="0" print="0" autoFill="0" autoLine="0" autoPict="0">
                <anchor moveWithCells="1">
                  <from>
                    <xdr:col>9</xdr:col>
                    <xdr:colOff>85725</xdr:colOff>
                    <xdr:row>59</xdr:row>
                    <xdr:rowOff>66675</xdr:rowOff>
                  </from>
                  <to>
                    <xdr:col>10</xdr:col>
                    <xdr:colOff>266700</xdr:colOff>
                    <xdr:row>59</xdr:row>
                    <xdr:rowOff>285750</xdr:rowOff>
                  </to>
                </anchor>
              </controlPr>
            </control>
          </mc:Choice>
        </mc:AlternateContent>
        <mc:AlternateContent xmlns:mc="http://schemas.openxmlformats.org/markup-compatibility/2006">
          <mc:Choice Requires="x14">
            <control shapeId="15553" r:id="rId58" name="Check Box 193">
              <controlPr defaultSize="0" print="0" autoFill="0" autoLine="0" autoPict="0">
                <anchor moveWithCells="1">
                  <from>
                    <xdr:col>9</xdr:col>
                    <xdr:colOff>85725</xdr:colOff>
                    <xdr:row>60</xdr:row>
                    <xdr:rowOff>66675</xdr:rowOff>
                  </from>
                  <to>
                    <xdr:col>10</xdr:col>
                    <xdr:colOff>266700</xdr:colOff>
                    <xdr:row>60</xdr:row>
                    <xdr:rowOff>285750</xdr:rowOff>
                  </to>
                </anchor>
              </controlPr>
            </control>
          </mc:Choice>
        </mc:AlternateContent>
        <mc:AlternateContent xmlns:mc="http://schemas.openxmlformats.org/markup-compatibility/2006">
          <mc:Choice Requires="x14">
            <control shapeId="15554" r:id="rId59" name="Check Box 194">
              <controlPr defaultSize="0" print="0" autoFill="0" autoLine="0" autoPict="0">
                <anchor moveWithCells="1">
                  <from>
                    <xdr:col>9</xdr:col>
                    <xdr:colOff>85725</xdr:colOff>
                    <xdr:row>61</xdr:row>
                    <xdr:rowOff>66675</xdr:rowOff>
                  </from>
                  <to>
                    <xdr:col>10</xdr:col>
                    <xdr:colOff>266700</xdr:colOff>
                    <xdr:row>61</xdr:row>
                    <xdr:rowOff>285750</xdr:rowOff>
                  </to>
                </anchor>
              </controlPr>
            </control>
          </mc:Choice>
        </mc:AlternateContent>
        <mc:AlternateContent xmlns:mc="http://schemas.openxmlformats.org/markup-compatibility/2006">
          <mc:Choice Requires="x14">
            <control shapeId="15555" r:id="rId60" name="Check Box 195">
              <controlPr defaultSize="0" print="0" autoFill="0" autoLine="0" autoPict="0">
                <anchor moveWithCells="1">
                  <from>
                    <xdr:col>9</xdr:col>
                    <xdr:colOff>85725</xdr:colOff>
                    <xdr:row>62</xdr:row>
                    <xdr:rowOff>66675</xdr:rowOff>
                  </from>
                  <to>
                    <xdr:col>10</xdr:col>
                    <xdr:colOff>266700</xdr:colOff>
                    <xdr:row>62</xdr:row>
                    <xdr:rowOff>285750</xdr:rowOff>
                  </to>
                </anchor>
              </controlPr>
            </control>
          </mc:Choice>
        </mc:AlternateContent>
        <mc:AlternateContent xmlns:mc="http://schemas.openxmlformats.org/markup-compatibility/2006">
          <mc:Choice Requires="x14">
            <control shapeId="15556" r:id="rId61" name="Check Box 196">
              <controlPr defaultSize="0" print="0" autoFill="0" autoLine="0" autoPict="0">
                <anchor moveWithCells="1">
                  <from>
                    <xdr:col>9</xdr:col>
                    <xdr:colOff>85725</xdr:colOff>
                    <xdr:row>63</xdr:row>
                    <xdr:rowOff>66675</xdr:rowOff>
                  </from>
                  <to>
                    <xdr:col>10</xdr:col>
                    <xdr:colOff>266700</xdr:colOff>
                    <xdr:row>63</xdr:row>
                    <xdr:rowOff>285750</xdr:rowOff>
                  </to>
                </anchor>
              </controlPr>
            </control>
          </mc:Choice>
        </mc:AlternateContent>
        <mc:AlternateContent xmlns:mc="http://schemas.openxmlformats.org/markup-compatibility/2006">
          <mc:Choice Requires="x14">
            <control shapeId="15557" r:id="rId62" name="Check Box 197">
              <controlPr defaultSize="0" print="0" autoFill="0" autoLine="0" autoPict="0">
                <anchor moveWithCells="1">
                  <from>
                    <xdr:col>9</xdr:col>
                    <xdr:colOff>85725</xdr:colOff>
                    <xdr:row>64</xdr:row>
                    <xdr:rowOff>66675</xdr:rowOff>
                  </from>
                  <to>
                    <xdr:col>10</xdr:col>
                    <xdr:colOff>266700</xdr:colOff>
                    <xdr:row>64</xdr:row>
                    <xdr:rowOff>285750</xdr:rowOff>
                  </to>
                </anchor>
              </controlPr>
            </control>
          </mc:Choice>
        </mc:AlternateContent>
        <mc:AlternateContent xmlns:mc="http://schemas.openxmlformats.org/markup-compatibility/2006">
          <mc:Choice Requires="x14">
            <control shapeId="15558" r:id="rId63" name="Check Box 198">
              <controlPr defaultSize="0" print="0" autoFill="0" autoLine="0" autoPict="0">
                <anchor moveWithCells="1">
                  <from>
                    <xdr:col>9</xdr:col>
                    <xdr:colOff>85725</xdr:colOff>
                    <xdr:row>65</xdr:row>
                    <xdr:rowOff>66675</xdr:rowOff>
                  </from>
                  <to>
                    <xdr:col>10</xdr:col>
                    <xdr:colOff>266700</xdr:colOff>
                    <xdr:row>65</xdr:row>
                    <xdr:rowOff>285750</xdr:rowOff>
                  </to>
                </anchor>
              </controlPr>
            </control>
          </mc:Choice>
        </mc:AlternateContent>
        <mc:AlternateContent xmlns:mc="http://schemas.openxmlformats.org/markup-compatibility/2006">
          <mc:Choice Requires="x14">
            <control shapeId="15559" r:id="rId64" name="Check Box 199">
              <controlPr defaultSize="0" print="0" autoFill="0" autoLine="0" autoPict="0">
                <anchor moveWithCells="1">
                  <from>
                    <xdr:col>9</xdr:col>
                    <xdr:colOff>85725</xdr:colOff>
                    <xdr:row>66</xdr:row>
                    <xdr:rowOff>66675</xdr:rowOff>
                  </from>
                  <to>
                    <xdr:col>10</xdr:col>
                    <xdr:colOff>266700</xdr:colOff>
                    <xdr:row>66</xdr:row>
                    <xdr:rowOff>285750</xdr:rowOff>
                  </to>
                </anchor>
              </controlPr>
            </control>
          </mc:Choice>
        </mc:AlternateContent>
        <mc:AlternateContent xmlns:mc="http://schemas.openxmlformats.org/markup-compatibility/2006">
          <mc:Choice Requires="x14">
            <control shapeId="15560" r:id="rId65" name="Check Box 200">
              <controlPr defaultSize="0" print="0" autoFill="0" autoLine="0" autoPict="0">
                <anchor moveWithCells="1">
                  <from>
                    <xdr:col>9</xdr:col>
                    <xdr:colOff>85725</xdr:colOff>
                    <xdr:row>67</xdr:row>
                    <xdr:rowOff>66675</xdr:rowOff>
                  </from>
                  <to>
                    <xdr:col>10</xdr:col>
                    <xdr:colOff>266700</xdr:colOff>
                    <xdr:row>67</xdr:row>
                    <xdr:rowOff>285750</xdr:rowOff>
                  </to>
                </anchor>
              </controlPr>
            </control>
          </mc:Choice>
        </mc:AlternateContent>
        <mc:AlternateContent xmlns:mc="http://schemas.openxmlformats.org/markup-compatibility/2006">
          <mc:Choice Requires="x14">
            <control shapeId="15561" r:id="rId66" name="Check Box 201">
              <controlPr defaultSize="0" print="0" autoFill="0" autoLine="0" autoPict="0">
                <anchor moveWithCells="1">
                  <from>
                    <xdr:col>9</xdr:col>
                    <xdr:colOff>85725</xdr:colOff>
                    <xdr:row>68</xdr:row>
                    <xdr:rowOff>66675</xdr:rowOff>
                  </from>
                  <to>
                    <xdr:col>10</xdr:col>
                    <xdr:colOff>266700</xdr:colOff>
                    <xdr:row>68</xdr:row>
                    <xdr:rowOff>285750</xdr:rowOff>
                  </to>
                </anchor>
              </controlPr>
            </control>
          </mc:Choice>
        </mc:AlternateContent>
        <mc:AlternateContent xmlns:mc="http://schemas.openxmlformats.org/markup-compatibility/2006">
          <mc:Choice Requires="x14">
            <control shapeId="15562" r:id="rId67" name="Check Box 202">
              <controlPr defaultSize="0" print="0" autoFill="0" autoLine="0" autoPict="0">
                <anchor moveWithCells="1">
                  <from>
                    <xdr:col>9</xdr:col>
                    <xdr:colOff>85725</xdr:colOff>
                    <xdr:row>69</xdr:row>
                    <xdr:rowOff>66675</xdr:rowOff>
                  </from>
                  <to>
                    <xdr:col>10</xdr:col>
                    <xdr:colOff>266700</xdr:colOff>
                    <xdr:row>69</xdr:row>
                    <xdr:rowOff>285750</xdr:rowOff>
                  </to>
                </anchor>
              </controlPr>
            </control>
          </mc:Choice>
        </mc:AlternateContent>
        <mc:AlternateContent xmlns:mc="http://schemas.openxmlformats.org/markup-compatibility/2006">
          <mc:Choice Requires="x14">
            <control shapeId="15563" r:id="rId68" name="Check Box 203">
              <controlPr defaultSize="0" print="0" autoFill="0" autoLine="0" autoPict="0">
                <anchor moveWithCells="1">
                  <from>
                    <xdr:col>9</xdr:col>
                    <xdr:colOff>85725</xdr:colOff>
                    <xdr:row>70</xdr:row>
                    <xdr:rowOff>66675</xdr:rowOff>
                  </from>
                  <to>
                    <xdr:col>10</xdr:col>
                    <xdr:colOff>266700</xdr:colOff>
                    <xdr:row>70</xdr:row>
                    <xdr:rowOff>285750</xdr:rowOff>
                  </to>
                </anchor>
              </controlPr>
            </control>
          </mc:Choice>
        </mc:AlternateContent>
        <mc:AlternateContent xmlns:mc="http://schemas.openxmlformats.org/markup-compatibility/2006">
          <mc:Choice Requires="x14">
            <control shapeId="15564" r:id="rId69" name="Check Box 204">
              <controlPr defaultSize="0" print="0" autoFill="0" autoLine="0" autoPict="0">
                <anchor moveWithCells="1">
                  <from>
                    <xdr:col>9</xdr:col>
                    <xdr:colOff>85725</xdr:colOff>
                    <xdr:row>71</xdr:row>
                    <xdr:rowOff>66675</xdr:rowOff>
                  </from>
                  <to>
                    <xdr:col>10</xdr:col>
                    <xdr:colOff>266700</xdr:colOff>
                    <xdr:row>71</xdr:row>
                    <xdr:rowOff>285750</xdr:rowOff>
                  </to>
                </anchor>
              </controlPr>
            </control>
          </mc:Choice>
        </mc:AlternateContent>
        <mc:AlternateContent xmlns:mc="http://schemas.openxmlformats.org/markup-compatibility/2006">
          <mc:Choice Requires="x14">
            <control shapeId="15565" r:id="rId70" name="Check Box 205">
              <controlPr defaultSize="0" print="0" autoFill="0" autoLine="0" autoPict="0">
                <anchor moveWithCells="1">
                  <from>
                    <xdr:col>9</xdr:col>
                    <xdr:colOff>85725</xdr:colOff>
                    <xdr:row>72</xdr:row>
                    <xdr:rowOff>66675</xdr:rowOff>
                  </from>
                  <to>
                    <xdr:col>10</xdr:col>
                    <xdr:colOff>266700</xdr:colOff>
                    <xdr:row>72</xdr:row>
                    <xdr:rowOff>285750</xdr:rowOff>
                  </to>
                </anchor>
              </controlPr>
            </control>
          </mc:Choice>
        </mc:AlternateContent>
        <mc:AlternateContent xmlns:mc="http://schemas.openxmlformats.org/markup-compatibility/2006">
          <mc:Choice Requires="x14">
            <control shapeId="15566" r:id="rId71" name="Check Box 206">
              <controlPr defaultSize="0" print="0" autoFill="0" autoLine="0" autoPict="0">
                <anchor moveWithCells="1">
                  <from>
                    <xdr:col>9</xdr:col>
                    <xdr:colOff>85725</xdr:colOff>
                    <xdr:row>73</xdr:row>
                    <xdr:rowOff>66675</xdr:rowOff>
                  </from>
                  <to>
                    <xdr:col>10</xdr:col>
                    <xdr:colOff>266700</xdr:colOff>
                    <xdr:row>73</xdr:row>
                    <xdr:rowOff>285750</xdr:rowOff>
                  </to>
                </anchor>
              </controlPr>
            </control>
          </mc:Choice>
        </mc:AlternateContent>
        <mc:AlternateContent xmlns:mc="http://schemas.openxmlformats.org/markup-compatibility/2006">
          <mc:Choice Requires="x14">
            <control shapeId="15567" r:id="rId72" name="Check Box 207">
              <controlPr defaultSize="0" print="0" autoFill="0" autoLine="0" autoPict="0">
                <anchor moveWithCells="1">
                  <from>
                    <xdr:col>9</xdr:col>
                    <xdr:colOff>85725</xdr:colOff>
                    <xdr:row>74</xdr:row>
                    <xdr:rowOff>66675</xdr:rowOff>
                  </from>
                  <to>
                    <xdr:col>10</xdr:col>
                    <xdr:colOff>266700</xdr:colOff>
                    <xdr:row>74</xdr:row>
                    <xdr:rowOff>285750</xdr:rowOff>
                  </to>
                </anchor>
              </controlPr>
            </control>
          </mc:Choice>
        </mc:AlternateContent>
        <mc:AlternateContent xmlns:mc="http://schemas.openxmlformats.org/markup-compatibility/2006">
          <mc:Choice Requires="x14">
            <control shapeId="15568" r:id="rId73" name="Check Box 208">
              <controlPr defaultSize="0" print="0" autoFill="0" autoLine="0" autoPict="0">
                <anchor moveWithCells="1">
                  <from>
                    <xdr:col>9</xdr:col>
                    <xdr:colOff>85725</xdr:colOff>
                    <xdr:row>75</xdr:row>
                    <xdr:rowOff>66675</xdr:rowOff>
                  </from>
                  <to>
                    <xdr:col>10</xdr:col>
                    <xdr:colOff>266700</xdr:colOff>
                    <xdr:row>75</xdr:row>
                    <xdr:rowOff>285750</xdr:rowOff>
                  </to>
                </anchor>
              </controlPr>
            </control>
          </mc:Choice>
        </mc:AlternateContent>
        <mc:AlternateContent xmlns:mc="http://schemas.openxmlformats.org/markup-compatibility/2006">
          <mc:Choice Requires="x14">
            <control shapeId="15569" r:id="rId74" name="Check Box 209">
              <controlPr defaultSize="0" print="0" autoFill="0" autoLine="0" autoPict="0">
                <anchor moveWithCells="1">
                  <from>
                    <xdr:col>9</xdr:col>
                    <xdr:colOff>85725</xdr:colOff>
                    <xdr:row>76</xdr:row>
                    <xdr:rowOff>66675</xdr:rowOff>
                  </from>
                  <to>
                    <xdr:col>10</xdr:col>
                    <xdr:colOff>266700</xdr:colOff>
                    <xdr:row>76</xdr:row>
                    <xdr:rowOff>285750</xdr:rowOff>
                  </to>
                </anchor>
              </controlPr>
            </control>
          </mc:Choice>
        </mc:AlternateContent>
        <mc:AlternateContent xmlns:mc="http://schemas.openxmlformats.org/markup-compatibility/2006">
          <mc:Choice Requires="x14">
            <control shapeId="15570" r:id="rId75" name="Check Box 210">
              <controlPr defaultSize="0" print="0" autoFill="0" autoLine="0" autoPict="0">
                <anchor moveWithCells="1">
                  <from>
                    <xdr:col>9</xdr:col>
                    <xdr:colOff>85725</xdr:colOff>
                    <xdr:row>77</xdr:row>
                    <xdr:rowOff>66675</xdr:rowOff>
                  </from>
                  <to>
                    <xdr:col>10</xdr:col>
                    <xdr:colOff>266700</xdr:colOff>
                    <xdr:row>77</xdr:row>
                    <xdr:rowOff>285750</xdr:rowOff>
                  </to>
                </anchor>
              </controlPr>
            </control>
          </mc:Choice>
        </mc:AlternateContent>
        <mc:AlternateContent xmlns:mc="http://schemas.openxmlformats.org/markup-compatibility/2006">
          <mc:Choice Requires="x14">
            <control shapeId="15571" r:id="rId76" name="Check Box 211">
              <controlPr defaultSize="0" print="0" autoFill="0" autoLine="0" autoPict="0">
                <anchor moveWithCells="1">
                  <from>
                    <xdr:col>9</xdr:col>
                    <xdr:colOff>85725</xdr:colOff>
                    <xdr:row>78</xdr:row>
                    <xdr:rowOff>66675</xdr:rowOff>
                  </from>
                  <to>
                    <xdr:col>10</xdr:col>
                    <xdr:colOff>266700</xdr:colOff>
                    <xdr:row>78</xdr:row>
                    <xdr:rowOff>285750</xdr:rowOff>
                  </to>
                </anchor>
              </controlPr>
            </control>
          </mc:Choice>
        </mc:AlternateContent>
        <mc:AlternateContent xmlns:mc="http://schemas.openxmlformats.org/markup-compatibility/2006">
          <mc:Choice Requires="x14">
            <control shapeId="15572" r:id="rId77" name="Check Box 212">
              <controlPr defaultSize="0" print="0" autoFill="0" autoLine="0" autoPict="0">
                <anchor moveWithCells="1">
                  <from>
                    <xdr:col>9</xdr:col>
                    <xdr:colOff>85725</xdr:colOff>
                    <xdr:row>79</xdr:row>
                    <xdr:rowOff>66675</xdr:rowOff>
                  </from>
                  <to>
                    <xdr:col>10</xdr:col>
                    <xdr:colOff>266700</xdr:colOff>
                    <xdr:row>79</xdr:row>
                    <xdr:rowOff>285750</xdr:rowOff>
                  </to>
                </anchor>
              </controlPr>
            </control>
          </mc:Choice>
        </mc:AlternateContent>
        <mc:AlternateContent xmlns:mc="http://schemas.openxmlformats.org/markup-compatibility/2006">
          <mc:Choice Requires="x14">
            <control shapeId="15573" r:id="rId78" name="Check Box 213">
              <controlPr defaultSize="0" print="0" autoFill="0" autoLine="0" autoPict="0">
                <anchor moveWithCells="1">
                  <from>
                    <xdr:col>9</xdr:col>
                    <xdr:colOff>85725</xdr:colOff>
                    <xdr:row>80</xdr:row>
                    <xdr:rowOff>66675</xdr:rowOff>
                  </from>
                  <to>
                    <xdr:col>10</xdr:col>
                    <xdr:colOff>266700</xdr:colOff>
                    <xdr:row>80</xdr:row>
                    <xdr:rowOff>285750</xdr:rowOff>
                  </to>
                </anchor>
              </controlPr>
            </control>
          </mc:Choice>
        </mc:AlternateContent>
        <mc:AlternateContent xmlns:mc="http://schemas.openxmlformats.org/markup-compatibility/2006">
          <mc:Choice Requires="x14">
            <control shapeId="15574" r:id="rId79" name="Check Box 214">
              <controlPr defaultSize="0" print="0" autoFill="0" autoLine="0" autoPict="0">
                <anchor moveWithCells="1">
                  <from>
                    <xdr:col>9</xdr:col>
                    <xdr:colOff>85725</xdr:colOff>
                    <xdr:row>81</xdr:row>
                    <xdr:rowOff>66675</xdr:rowOff>
                  </from>
                  <to>
                    <xdr:col>10</xdr:col>
                    <xdr:colOff>266700</xdr:colOff>
                    <xdr:row>81</xdr:row>
                    <xdr:rowOff>285750</xdr:rowOff>
                  </to>
                </anchor>
              </controlPr>
            </control>
          </mc:Choice>
        </mc:AlternateContent>
        <mc:AlternateContent xmlns:mc="http://schemas.openxmlformats.org/markup-compatibility/2006">
          <mc:Choice Requires="x14">
            <control shapeId="15575" r:id="rId80" name="Check Box 215">
              <controlPr defaultSize="0" print="0" autoFill="0" autoLine="0" autoPict="0">
                <anchor moveWithCells="1">
                  <from>
                    <xdr:col>9</xdr:col>
                    <xdr:colOff>85725</xdr:colOff>
                    <xdr:row>82</xdr:row>
                    <xdr:rowOff>66675</xdr:rowOff>
                  </from>
                  <to>
                    <xdr:col>10</xdr:col>
                    <xdr:colOff>266700</xdr:colOff>
                    <xdr:row>82</xdr:row>
                    <xdr:rowOff>285750</xdr:rowOff>
                  </to>
                </anchor>
              </controlPr>
            </control>
          </mc:Choice>
        </mc:AlternateContent>
        <mc:AlternateContent xmlns:mc="http://schemas.openxmlformats.org/markup-compatibility/2006">
          <mc:Choice Requires="x14">
            <control shapeId="15576" r:id="rId81" name="Check Box 216">
              <controlPr defaultSize="0" print="0" autoFill="0" autoLine="0" autoPict="0">
                <anchor moveWithCells="1">
                  <from>
                    <xdr:col>9</xdr:col>
                    <xdr:colOff>85725</xdr:colOff>
                    <xdr:row>83</xdr:row>
                    <xdr:rowOff>66675</xdr:rowOff>
                  </from>
                  <to>
                    <xdr:col>10</xdr:col>
                    <xdr:colOff>266700</xdr:colOff>
                    <xdr:row>83</xdr:row>
                    <xdr:rowOff>285750</xdr:rowOff>
                  </to>
                </anchor>
              </controlPr>
            </control>
          </mc:Choice>
        </mc:AlternateContent>
        <mc:AlternateContent xmlns:mc="http://schemas.openxmlformats.org/markup-compatibility/2006">
          <mc:Choice Requires="x14">
            <control shapeId="15577" r:id="rId82" name="Check Box 217">
              <controlPr defaultSize="0" print="0" autoFill="0" autoLine="0" autoPict="0">
                <anchor moveWithCells="1">
                  <from>
                    <xdr:col>9</xdr:col>
                    <xdr:colOff>85725</xdr:colOff>
                    <xdr:row>84</xdr:row>
                    <xdr:rowOff>66675</xdr:rowOff>
                  </from>
                  <to>
                    <xdr:col>10</xdr:col>
                    <xdr:colOff>266700</xdr:colOff>
                    <xdr:row>84</xdr:row>
                    <xdr:rowOff>285750</xdr:rowOff>
                  </to>
                </anchor>
              </controlPr>
            </control>
          </mc:Choice>
        </mc:AlternateContent>
        <mc:AlternateContent xmlns:mc="http://schemas.openxmlformats.org/markup-compatibility/2006">
          <mc:Choice Requires="x14">
            <control shapeId="15578" r:id="rId83" name="Check Box 218">
              <controlPr defaultSize="0" print="0" autoFill="0" autoLine="0" autoPict="0">
                <anchor moveWithCells="1">
                  <from>
                    <xdr:col>9</xdr:col>
                    <xdr:colOff>85725</xdr:colOff>
                    <xdr:row>85</xdr:row>
                    <xdr:rowOff>66675</xdr:rowOff>
                  </from>
                  <to>
                    <xdr:col>10</xdr:col>
                    <xdr:colOff>266700</xdr:colOff>
                    <xdr:row>85</xdr:row>
                    <xdr:rowOff>285750</xdr:rowOff>
                  </to>
                </anchor>
              </controlPr>
            </control>
          </mc:Choice>
        </mc:AlternateContent>
        <mc:AlternateContent xmlns:mc="http://schemas.openxmlformats.org/markup-compatibility/2006">
          <mc:Choice Requires="x14">
            <control shapeId="15579" r:id="rId84" name="Check Box 219">
              <controlPr defaultSize="0" print="0" autoFill="0" autoLine="0" autoPict="0">
                <anchor moveWithCells="1">
                  <from>
                    <xdr:col>9</xdr:col>
                    <xdr:colOff>85725</xdr:colOff>
                    <xdr:row>86</xdr:row>
                    <xdr:rowOff>66675</xdr:rowOff>
                  </from>
                  <to>
                    <xdr:col>10</xdr:col>
                    <xdr:colOff>266700</xdr:colOff>
                    <xdr:row>86</xdr:row>
                    <xdr:rowOff>285750</xdr:rowOff>
                  </to>
                </anchor>
              </controlPr>
            </control>
          </mc:Choice>
        </mc:AlternateContent>
        <mc:AlternateContent xmlns:mc="http://schemas.openxmlformats.org/markup-compatibility/2006">
          <mc:Choice Requires="x14">
            <control shapeId="15580" r:id="rId85" name="Check Box 220">
              <controlPr defaultSize="0" print="0" autoFill="0" autoLine="0" autoPict="0">
                <anchor moveWithCells="1">
                  <from>
                    <xdr:col>9</xdr:col>
                    <xdr:colOff>85725</xdr:colOff>
                    <xdr:row>87</xdr:row>
                    <xdr:rowOff>66675</xdr:rowOff>
                  </from>
                  <to>
                    <xdr:col>10</xdr:col>
                    <xdr:colOff>266700</xdr:colOff>
                    <xdr:row>87</xdr:row>
                    <xdr:rowOff>285750</xdr:rowOff>
                  </to>
                </anchor>
              </controlPr>
            </control>
          </mc:Choice>
        </mc:AlternateContent>
        <mc:AlternateContent xmlns:mc="http://schemas.openxmlformats.org/markup-compatibility/2006">
          <mc:Choice Requires="x14">
            <control shapeId="15581" r:id="rId86" name="Check Box 221">
              <controlPr defaultSize="0" print="0" autoFill="0" autoLine="0" autoPict="0">
                <anchor moveWithCells="1">
                  <from>
                    <xdr:col>9</xdr:col>
                    <xdr:colOff>85725</xdr:colOff>
                    <xdr:row>88</xdr:row>
                    <xdr:rowOff>66675</xdr:rowOff>
                  </from>
                  <to>
                    <xdr:col>10</xdr:col>
                    <xdr:colOff>266700</xdr:colOff>
                    <xdr:row>88</xdr:row>
                    <xdr:rowOff>285750</xdr:rowOff>
                  </to>
                </anchor>
              </controlPr>
            </control>
          </mc:Choice>
        </mc:AlternateContent>
        <mc:AlternateContent xmlns:mc="http://schemas.openxmlformats.org/markup-compatibility/2006">
          <mc:Choice Requires="x14">
            <control shapeId="15582" r:id="rId87" name="Check Box 222">
              <controlPr defaultSize="0" print="0" autoFill="0" autoLine="0" autoPict="0">
                <anchor moveWithCells="1">
                  <from>
                    <xdr:col>9</xdr:col>
                    <xdr:colOff>85725</xdr:colOff>
                    <xdr:row>89</xdr:row>
                    <xdr:rowOff>66675</xdr:rowOff>
                  </from>
                  <to>
                    <xdr:col>10</xdr:col>
                    <xdr:colOff>266700</xdr:colOff>
                    <xdr:row>89</xdr:row>
                    <xdr:rowOff>285750</xdr:rowOff>
                  </to>
                </anchor>
              </controlPr>
            </control>
          </mc:Choice>
        </mc:AlternateContent>
        <mc:AlternateContent xmlns:mc="http://schemas.openxmlformats.org/markup-compatibility/2006">
          <mc:Choice Requires="x14">
            <control shapeId="15583" r:id="rId88" name="Check Box 223">
              <controlPr defaultSize="0" print="0" autoFill="0" autoLine="0" autoPict="0">
                <anchor moveWithCells="1">
                  <from>
                    <xdr:col>9</xdr:col>
                    <xdr:colOff>85725</xdr:colOff>
                    <xdr:row>90</xdr:row>
                    <xdr:rowOff>66675</xdr:rowOff>
                  </from>
                  <to>
                    <xdr:col>10</xdr:col>
                    <xdr:colOff>266700</xdr:colOff>
                    <xdr:row>90</xdr:row>
                    <xdr:rowOff>285750</xdr:rowOff>
                  </to>
                </anchor>
              </controlPr>
            </control>
          </mc:Choice>
        </mc:AlternateContent>
        <mc:AlternateContent xmlns:mc="http://schemas.openxmlformats.org/markup-compatibility/2006">
          <mc:Choice Requires="x14">
            <control shapeId="15584" r:id="rId89" name="Check Box 224">
              <controlPr defaultSize="0" print="0" autoFill="0" autoLine="0" autoPict="0">
                <anchor moveWithCells="1">
                  <from>
                    <xdr:col>9</xdr:col>
                    <xdr:colOff>85725</xdr:colOff>
                    <xdr:row>91</xdr:row>
                    <xdr:rowOff>66675</xdr:rowOff>
                  </from>
                  <to>
                    <xdr:col>10</xdr:col>
                    <xdr:colOff>266700</xdr:colOff>
                    <xdr:row>91</xdr:row>
                    <xdr:rowOff>285750</xdr:rowOff>
                  </to>
                </anchor>
              </controlPr>
            </control>
          </mc:Choice>
        </mc:AlternateContent>
        <mc:AlternateContent xmlns:mc="http://schemas.openxmlformats.org/markup-compatibility/2006">
          <mc:Choice Requires="x14">
            <control shapeId="15585" r:id="rId90" name="Check Box 225">
              <controlPr defaultSize="0" print="0" autoFill="0" autoLine="0" autoPict="0">
                <anchor moveWithCells="1">
                  <from>
                    <xdr:col>9</xdr:col>
                    <xdr:colOff>85725</xdr:colOff>
                    <xdr:row>92</xdr:row>
                    <xdr:rowOff>66675</xdr:rowOff>
                  </from>
                  <to>
                    <xdr:col>10</xdr:col>
                    <xdr:colOff>266700</xdr:colOff>
                    <xdr:row>92</xdr:row>
                    <xdr:rowOff>285750</xdr:rowOff>
                  </to>
                </anchor>
              </controlPr>
            </control>
          </mc:Choice>
        </mc:AlternateContent>
        <mc:AlternateContent xmlns:mc="http://schemas.openxmlformats.org/markup-compatibility/2006">
          <mc:Choice Requires="x14">
            <control shapeId="15586" r:id="rId91" name="Check Box 226">
              <controlPr defaultSize="0" print="0" autoFill="0" autoLine="0" autoPict="0">
                <anchor moveWithCells="1">
                  <from>
                    <xdr:col>9</xdr:col>
                    <xdr:colOff>85725</xdr:colOff>
                    <xdr:row>93</xdr:row>
                    <xdr:rowOff>66675</xdr:rowOff>
                  </from>
                  <to>
                    <xdr:col>10</xdr:col>
                    <xdr:colOff>266700</xdr:colOff>
                    <xdr:row>93</xdr:row>
                    <xdr:rowOff>285750</xdr:rowOff>
                  </to>
                </anchor>
              </controlPr>
            </control>
          </mc:Choice>
        </mc:AlternateContent>
        <mc:AlternateContent xmlns:mc="http://schemas.openxmlformats.org/markup-compatibility/2006">
          <mc:Choice Requires="x14">
            <control shapeId="15587" r:id="rId92" name="Check Box 227">
              <controlPr defaultSize="0" print="0" autoFill="0" autoLine="0" autoPict="0">
                <anchor moveWithCells="1">
                  <from>
                    <xdr:col>9</xdr:col>
                    <xdr:colOff>85725</xdr:colOff>
                    <xdr:row>94</xdr:row>
                    <xdr:rowOff>66675</xdr:rowOff>
                  </from>
                  <to>
                    <xdr:col>10</xdr:col>
                    <xdr:colOff>266700</xdr:colOff>
                    <xdr:row>94</xdr:row>
                    <xdr:rowOff>285750</xdr:rowOff>
                  </to>
                </anchor>
              </controlPr>
            </control>
          </mc:Choice>
        </mc:AlternateContent>
        <mc:AlternateContent xmlns:mc="http://schemas.openxmlformats.org/markup-compatibility/2006">
          <mc:Choice Requires="x14">
            <control shapeId="15588" r:id="rId93" name="Check Box 228">
              <controlPr defaultSize="0" print="0" autoFill="0" autoLine="0" autoPict="0">
                <anchor moveWithCells="1">
                  <from>
                    <xdr:col>9</xdr:col>
                    <xdr:colOff>85725</xdr:colOff>
                    <xdr:row>95</xdr:row>
                    <xdr:rowOff>66675</xdr:rowOff>
                  </from>
                  <to>
                    <xdr:col>10</xdr:col>
                    <xdr:colOff>266700</xdr:colOff>
                    <xdr:row>95</xdr:row>
                    <xdr:rowOff>285750</xdr:rowOff>
                  </to>
                </anchor>
              </controlPr>
            </control>
          </mc:Choice>
        </mc:AlternateContent>
        <mc:AlternateContent xmlns:mc="http://schemas.openxmlformats.org/markup-compatibility/2006">
          <mc:Choice Requires="x14">
            <control shapeId="15589" r:id="rId94" name="Check Box 229">
              <controlPr defaultSize="0" print="0" autoFill="0" autoLine="0" autoPict="0">
                <anchor moveWithCells="1">
                  <from>
                    <xdr:col>9</xdr:col>
                    <xdr:colOff>85725</xdr:colOff>
                    <xdr:row>96</xdr:row>
                    <xdr:rowOff>66675</xdr:rowOff>
                  </from>
                  <to>
                    <xdr:col>10</xdr:col>
                    <xdr:colOff>266700</xdr:colOff>
                    <xdr:row>96</xdr:row>
                    <xdr:rowOff>285750</xdr:rowOff>
                  </to>
                </anchor>
              </controlPr>
            </control>
          </mc:Choice>
        </mc:AlternateContent>
        <mc:AlternateContent xmlns:mc="http://schemas.openxmlformats.org/markup-compatibility/2006">
          <mc:Choice Requires="x14">
            <control shapeId="15590" r:id="rId95" name="Check Box 230">
              <controlPr defaultSize="0" print="0" autoFill="0" autoLine="0" autoPict="0">
                <anchor moveWithCells="1">
                  <from>
                    <xdr:col>9</xdr:col>
                    <xdr:colOff>85725</xdr:colOff>
                    <xdr:row>97</xdr:row>
                    <xdr:rowOff>66675</xdr:rowOff>
                  </from>
                  <to>
                    <xdr:col>10</xdr:col>
                    <xdr:colOff>266700</xdr:colOff>
                    <xdr:row>97</xdr:row>
                    <xdr:rowOff>285750</xdr:rowOff>
                  </to>
                </anchor>
              </controlPr>
            </control>
          </mc:Choice>
        </mc:AlternateContent>
        <mc:AlternateContent xmlns:mc="http://schemas.openxmlformats.org/markup-compatibility/2006">
          <mc:Choice Requires="x14">
            <control shapeId="15591" r:id="rId96" name="Check Box 231">
              <controlPr defaultSize="0" print="0" autoFill="0" autoLine="0" autoPict="0">
                <anchor moveWithCells="1">
                  <from>
                    <xdr:col>9</xdr:col>
                    <xdr:colOff>85725</xdr:colOff>
                    <xdr:row>98</xdr:row>
                    <xdr:rowOff>66675</xdr:rowOff>
                  </from>
                  <to>
                    <xdr:col>10</xdr:col>
                    <xdr:colOff>266700</xdr:colOff>
                    <xdr:row>98</xdr:row>
                    <xdr:rowOff>285750</xdr:rowOff>
                  </to>
                </anchor>
              </controlPr>
            </control>
          </mc:Choice>
        </mc:AlternateContent>
        <mc:AlternateContent xmlns:mc="http://schemas.openxmlformats.org/markup-compatibility/2006">
          <mc:Choice Requires="x14">
            <control shapeId="15592" r:id="rId97" name="Check Box 232">
              <controlPr defaultSize="0" print="0" autoFill="0" autoLine="0" autoPict="0">
                <anchor moveWithCells="1">
                  <from>
                    <xdr:col>9</xdr:col>
                    <xdr:colOff>85725</xdr:colOff>
                    <xdr:row>99</xdr:row>
                    <xdr:rowOff>66675</xdr:rowOff>
                  </from>
                  <to>
                    <xdr:col>10</xdr:col>
                    <xdr:colOff>266700</xdr:colOff>
                    <xdr:row>99</xdr:row>
                    <xdr:rowOff>285750</xdr:rowOff>
                  </to>
                </anchor>
              </controlPr>
            </control>
          </mc:Choice>
        </mc:AlternateContent>
        <mc:AlternateContent xmlns:mc="http://schemas.openxmlformats.org/markup-compatibility/2006">
          <mc:Choice Requires="x14">
            <control shapeId="15593" r:id="rId98" name="Check Box 233">
              <controlPr defaultSize="0" print="0" autoFill="0" autoLine="0" autoPict="0">
                <anchor moveWithCells="1">
                  <from>
                    <xdr:col>9</xdr:col>
                    <xdr:colOff>85725</xdr:colOff>
                    <xdr:row>100</xdr:row>
                    <xdr:rowOff>66675</xdr:rowOff>
                  </from>
                  <to>
                    <xdr:col>10</xdr:col>
                    <xdr:colOff>266700</xdr:colOff>
                    <xdr:row>100</xdr:row>
                    <xdr:rowOff>285750</xdr:rowOff>
                  </to>
                </anchor>
              </controlPr>
            </control>
          </mc:Choice>
        </mc:AlternateContent>
        <mc:AlternateContent xmlns:mc="http://schemas.openxmlformats.org/markup-compatibility/2006">
          <mc:Choice Requires="x14">
            <control shapeId="15594" r:id="rId99" name="Check Box 234">
              <controlPr defaultSize="0" print="0" autoFill="0" autoLine="0" autoPict="0">
                <anchor moveWithCells="1">
                  <from>
                    <xdr:col>9</xdr:col>
                    <xdr:colOff>85725</xdr:colOff>
                    <xdr:row>101</xdr:row>
                    <xdr:rowOff>66675</xdr:rowOff>
                  </from>
                  <to>
                    <xdr:col>10</xdr:col>
                    <xdr:colOff>266700</xdr:colOff>
                    <xdr:row>101</xdr:row>
                    <xdr:rowOff>285750</xdr:rowOff>
                  </to>
                </anchor>
              </controlPr>
            </control>
          </mc:Choice>
        </mc:AlternateContent>
        <mc:AlternateContent xmlns:mc="http://schemas.openxmlformats.org/markup-compatibility/2006">
          <mc:Choice Requires="x14">
            <control shapeId="15595" r:id="rId100" name="Check Box 235">
              <controlPr defaultSize="0" print="0" autoFill="0" autoLine="0" autoPict="0">
                <anchor moveWithCells="1">
                  <from>
                    <xdr:col>9</xdr:col>
                    <xdr:colOff>85725</xdr:colOff>
                    <xdr:row>102</xdr:row>
                    <xdr:rowOff>66675</xdr:rowOff>
                  </from>
                  <to>
                    <xdr:col>10</xdr:col>
                    <xdr:colOff>266700</xdr:colOff>
                    <xdr:row>102</xdr:row>
                    <xdr:rowOff>285750</xdr:rowOff>
                  </to>
                </anchor>
              </controlPr>
            </control>
          </mc:Choice>
        </mc:AlternateContent>
        <mc:AlternateContent xmlns:mc="http://schemas.openxmlformats.org/markup-compatibility/2006">
          <mc:Choice Requires="x14">
            <control shapeId="15596" r:id="rId101" name="Check Box 236">
              <controlPr defaultSize="0" print="0" autoFill="0" autoLine="0" autoPict="0">
                <anchor moveWithCells="1">
                  <from>
                    <xdr:col>9</xdr:col>
                    <xdr:colOff>85725</xdr:colOff>
                    <xdr:row>103</xdr:row>
                    <xdr:rowOff>66675</xdr:rowOff>
                  </from>
                  <to>
                    <xdr:col>10</xdr:col>
                    <xdr:colOff>266700</xdr:colOff>
                    <xdr:row>103</xdr:row>
                    <xdr:rowOff>285750</xdr:rowOff>
                  </to>
                </anchor>
              </controlPr>
            </control>
          </mc:Choice>
        </mc:AlternateContent>
        <mc:AlternateContent xmlns:mc="http://schemas.openxmlformats.org/markup-compatibility/2006">
          <mc:Choice Requires="x14">
            <control shapeId="15597" r:id="rId102" name="Check Box 237">
              <controlPr defaultSize="0" print="0" autoFill="0" autoLine="0" autoPict="0">
                <anchor moveWithCells="1">
                  <from>
                    <xdr:col>9</xdr:col>
                    <xdr:colOff>85725</xdr:colOff>
                    <xdr:row>104</xdr:row>
                    <xdr:rowOff>66675</xdr:rowOff>
                  </from>
                  <to>
                    <xdr:col>10</xdr:col>
                    <xdr:colOff>266700</xdr:colOff>
                    <xdr:row>104</xdr:row>
                    <xdr:rowOff>285750</xdr:rowOff>
                  </to>
                </anchor>
              </controlPr>
            </control>
          </mc:Choice>
        </mc:AlternateContent>
        <mc:AlternateContent xmlns:mc="http://schemas.openxmlformats.org/markup-compatibility/2006">
          <mc:Choice Requires="x14">
            <control shapeId="15598" r:id="rId103" name="Check Box 238">
              <controlPr defaultSize="0" print="0" autoFill="0" autoLine="0" autoPict="0">
                <anchor moveWithCells="1">
                  <from>
                    <xdr:col>9</xdr:col>
                    <xdr:colOff>85725</xdr:colOff>
                    <xdr:row>105</xdr:row>
                    <xdr:rowOff>66675</xdr:rowOff>
                  </from>
                  <to>
                    <xdr:col>10</xdr:col>
                    <xdr:colOff>266700</xdr:colOff>
                    <xdr:row>105</xdr:row>
                    <xdr:rowOff>285750</xdr:rowOff>
                  </to>
                </anchor>
              </controlPr>
            </control>
          </mc:Choice>
        </mc:AlternateContent>
        <mc:AlternateContent xmlns:mc="http://schemas.openxmlformats.org/markup-compatibility/2006">
          <mc:Choice Requires="x14">
            <control shapeId="15599" r:id="rId104" name="Check Box 239">
              <controlPr defaultSize="0" print="0" autoFill="0" autoLine="0" autoPict="0">
                <anchor moveWithCells="1">
                  <from>
                    <xdr:col>9</xdr:col>
                    <xdr:colOff>85725</xdr:colOff>
                    <xdr:row>106</xdr:row>
                    <xdr:rowOff>66675</xdr:rowOff>
                  </from>
                  <to>
                    <xdr:col>10</xdr:col>
                    <xdr:colOff>266700</xdr:colOff>
                    <xdr:row>106</xdr:row>
                    <xdr:rowOff>285750</xdr:rowOff>
                  </to>
                </anchor>
              </controlPr>
            </control>
          </mc:Choice>
        </mc:AlternateContent>
        <mc:AlternateContent xmlns:mc="http://schemas.openxmlformats.org/markup-compatibility/2006">
          <mc:Choice Requires="x14">
            <control shapeId="15600" r:id="rId105" name="Check Box 240">
              <controlPr defaultSize="0" print="0" autoFill="0" autoLine="0" autoPict="0">
                <anchor moveWithCells="1">
                  <from>
                    <xdr:col>9</xdr:col>
                    <xdr:colOff>85725</xdr:colOff>
                    <xdr:row>107</xdr:row>
                    <xdr:rowOff>66675</xdr:rowOff>
                  </from>
                  <to>
                    <xdr:col>10</xdr:col>
                    <xdr:colOff>266700</xdr:colOff>
                    <xdr:row>107</xdr:row>
                    <xdr:rowOff>285750</xdr:rowOff>
                  </to>
                </anchor>
              </controlPr>
            </control>
          </mc:Choice>
        </mc:AlternateContent>
        <mc:AlternateContent xmlns:mc="http://schemas.openxmlformats.org/markup-compatibility/2006">
          <mc:Choice Requires="x14">
            <control shapeId="15601" r:id="rId106" name="Check Box 241">
              <controlPr defaultSize="0" print="0" autoFill="0" autoLine="0" autoPict="0">
                <anchor moveWithCells="1">
                  <from>
                    <xdr:col>9</xdr:col>
                    <xdr:colOff>85725</xdr:colOff>
                    <xdr:row>108</xdr:row>
                    <xdr:rowOff>66675</xdr:rowOff>
                  </from>
                  <to>
                    <xdr:col>10</xdr:col>
                    <xdr:colOff>266700</xdr:colOff>
                    <xdr:row>108</xdr:row>
                    <xdr:rowOff>285750</xdr:rowOff>
                  </to>
                </anchor>
              </controlPr>
            </control>
          </mc:Choice>
        </mc:AlternateContent>
        <mc:AlternateContent xmlns:mc="http://schemas.openxmlformats.org/markup-compatibility/2006">
          <mc:Choice Requires="x14">
            <control shapeId="15602" r:id="rId107" name="Check Box 242">
              <controlPr defaultSize="0" print="0" autoFill="0" autoLine="0" autoPict="0">
                <anchor moveWithCells="1">
                  <from>
                    <xdr:col>9</xdr:col>
                    <xdr:colOff>85725</xdr:colOff>
                    <xdr:row>109</xdr:row>
                    <xdr:rowOff>66675</xdr:rowOff>
                  </from>
                  <to>
                    <xdr:col>10</xdr:col>
                    <xdr:colOff>266700</xdr:colOff>
                    <xdr:row>109</xdr:row>
                    <xdr:rowOff>285750</xdr:rowOff>
                  </to>
                </anchor>
              </controlPr>
            </control>
          </mc:Choice>
        </mc:AlternateContent>
        <mc:AlternateContent xmlns:mc="http://schemas.openxmlformats.org/markup-compatibility/2006">
          <mc:Choice Requires="x14">
            <control shapeId="15603" r:id="rId108" name="Check Box 243">
              <controlPr defaultSize="0" print="0" autoFill="0" autoLine="0" autoPict="0">
                <anchor moveWithCells="1">
                  <from>
                    <xdr:col>9</xdr:col>
                    <xdr:colOff>85725</xdr:colOff>
                    <xdr:row>110</xdr:row>
                    <xdr:rowOff>66675</xdr:rowOff>
                  </from>
                  <to>
                    <xdr:col>10</xdr:col>
                    <xdr:colOff>266700</xdr:colOff>
                    <xdr:row>110</xdr:row>
                    <xdr:rowOff>285750</xdr:rowOff>
                  </to>
                </anchor>
              </controlPr>
            </control>
          </mc:Choice>
        </mc:AlternateContent>
        <mc:AlternateContent xmlns:mc="http://schemas.openxmlformats.org/markup-compatibility/2006">
          <mc:Choice Requires="x14">
            <control shapeId="15604" r:id="rId109" name="Check Box 244">
              <controlPr defaultSize="0" print="0" autoFill="0" autoLine="0" autoPict="0">
                <anchor moveWithCells="1">
                  <from>
                    <xdr:col>9</xdr:col>
                    <xdr:colOff>85725</xdr:colOff>
                    <xdr:row>111</xdr:row>
                    <xdr:rowOff>66675</xdr:rowOff>
                  </from>
                  <to>
                    <xdr:col>10</xdr:col>
                    <xdr:colOff>266700</xdr:colOff>
                    <xdr:row>111</xdr:row>
                    <xdr:rowOff>285750</xdr:rowOff>
                  </to>
                </anchor>
              </controlPr>
            </control>
          </mc:Choice>
        </mc:AlternateContent>
        <mc:AlternateContent xmlns:mc="http://schemas.openxmlformats.org/markup-compatibility/2006">
          <mc:Choice Requires="x14">
            <control shapeId="15605" r:id="rId110" name="Check Box 245">
              <controlPr defaultSize="0" print="0" autoFill="0" autoLine="0" autoPict="0">
                <anchor moveWithCells="1">
                  <from>
                    <xdr:col>9</xdr:col>
                    <xdr:colOff>85725</xdr:colOff>
                    <xdr:row>112</xdr:row>
                    <xdr:rowOff>66675</xdr:rowOff>
                  </from>
                  <to>
                    <xdr:col>10</xdr:col>
                    <xdr:colOff>266700</xdr:colOff>
                    <xdr:row>112</xdr:row>
                    <xdr:rowOff>285750</xdr:rowOff>
                  </to>
                </anchor>
              </controlPr>
            </control>
          </mc:Choice>
        </mc:AlternateContent>
        <mc:AlternateContent xmlns:mc="http://schemas.openxmlformats.org/markup-compatibility/2006">
          <mc:Choice Requires="x14">
            <control shapeId="15606" r:id="rId111" name="Check Box 246">
              <controlPr defaultSize="0" print="0" autoFill="0" autoLine="0" autoPict="0">
                <anchor moveWithCells="1">
                  <from>
                    <xdr:col>9</xdr:col>
                    <xdr:colOff>85725</xdr:colOff>
                    <xdr:row>113</xdr:row>
                    <xdr:rowOff>66675</xdr:rowOff>
                  </from>
                  <to>
                    <xdr:col>10</xdr:col>
                    <xdr:colOff>266700</xdr:colOff>
                    <xdr:row>113</xdr:row>
                    <xdr:rowOff>285750</xdr:rowOff>
                  </to>
                </anchor>
              </controlPr>
            </control>
          </mc:Choice>
        </mc:AlternateContent>
        <mc:AlternateContent xmlns:mc="http://schemas.openxmlformats.org/markup-compatibility/2006">
          <mc:Choice Requires="x14">
            <control shapeId="15607" r:id="rId112" name="Check Box 247">
              <controlPr defaultSize="0" print="0" autoFill="0" autoLine="0" autoPict="0">
                <anchor moveWithCells="1">
                  <from>
                    <xdr:col>9</xdr:col>
                    <xdr:colOff>85725</xdr:colOff>
                    <xdr:row>114</xdr:row>
                    <xdr:rowOff>66675</xdr:rowOff>
                  </from>
                  <to>
                    <xdr:col>10</xdr:col>
                    <xdr:colOff>266700</xdr:colOff>
                    <xdr:row>114</xdr:row>
                    <xdr:rowOff>285750</xdr:rowOff>
                  </to>
                </anchor>
              </controlPr>
            </control>
          </mc:Choice>
        </mc:AlternateContent>
        <mc:AlternateContent xmlns:mc="http://schemas.openxmlformats.org/markup-compatibility/2006">
          <mc:Choice Requires="x14">
            <control shapeId="15608" r:id="rId113" name="Check Box 248">
              <controlPr defaultSize="0" print="0" autoFill="0" autoLine="0" autoPict="0">
                <anchor moveWithCells="1">
                  <from>
                    <xdr:col>9</xdr:col>
                    <xdr:colOff>85725</xdr:colOff>
                    <xdr:row>115</xdr:row>
                    <xdr:rowOff>66675</xdr:rowOff>
                  </from>
                  <to>
                    <xdr:col>10</xdr:col>
                    <xdr:colOff>266700</xdr:colOff>
                    <xdr:row>115</xdr:row>
                    <xdr:rowOff>285750</xdr:rowOff>
                  </to>
                </anchor>
              </controlPr>
            </control>
          </mc:Choice>
        </mc:AlternateContent>
        <mc:AlternateContent xmlns:mc="http://schemas.openxmlformats.org/markup-compatibility/2006">
          <mc:Choice Requires="x14">
            <control shapeId="15609" r:id="rId114" name="Check Box 249">
              <controlPr defaultSize="0" print="0" autoFill="0" autoLine="0" autoPict="0">
                <anchor moveWithCells="1">
                  <from>
                    <xdr:col>9</xdr:col>
                    <xdr:colOff>85725</xdr:colOff>
                    <xdr:row>116</xdr:row>
                    <xdr:rowOff>66675</xdr:rowOff>
                  </from>
                  <to>
                    <xdr:col>10</xdr:col>
                    <xdr:colOff>266700</xdr:colOff>
                    <xdr:row>116</xdr:row>
                    <xdr:rowOff>285750</xdr:rowOff>
                  </to>
                </anchor>
              </controlPr>
            </control>
          </mc:Choice>
        </mc:AlternateContent>
        <mc:AlternateContent xmlns:mc="http://schemas.openxmlformats.org/markup-compatibility/2006">
          <mc:Choice Requires="x14">
            <control shapeId="15610" r:id="rId115" name="Check Box 250">
              <controlPr defaultSize="0" print="0" autoFill="0" autoLine="0" autoPict="0">
                <anchor moveWithCells="1">
                  <from>
                    <xdr:col>9</xdr:col>
                    <xdr:colOff>85725</xdr:colOff>
                    <xdr:row>117</xdr:row>
                    <xdr:rowOff>66675</xdr:rowOff>
                  </from>
                  <to>
                    <xdr:col>10</xdr:col>
                    <xdr:colOff>266700</xdr:colOff>
                    <xdr:row>117</xdr:row>
                    <xdr:rowOff>285750</xdr:rowOff>
                  </to>
                </anchor>
              </controlPr>
            </control>
          </mc:Choice>
        </mc:AlternateContent>
        <mc:AlternateContent xmlns:mc="http://schemas.openxmlformats.org/markup-compatibility/2006">
          <mc:Choice Requires="x14">
            <control shapeId="15611" r:id="rId116" name="Check Box 251">
              <controlPr defaultSize="0" print="0" autoFill="0" autoLine="0" autoPict="0">
                <anchor moveWithCells="1">
                  <from>
                    <xdr:col>9</xdr:col>
                    <xdr:colOff>85725</xdr:colOff>
                    <xdr:row>118</xdr:row>
                    <xdr:rowOff>66675</xdr:rowOff>
                  </from>
                  <to>
                    <xdr:col>10</xdr:col>
                    <xdr:colOff>266700</xdr:colOff>
                    <xdr:row>118</xdr:row>
                    <xdr:rowOff>285750</xdr:rowOff>
                  </to>
                </anchor>
              </controlPr>
            </control>
          </mc:Choice>
        </mc:AlternateContent>
        <mc:AlternateContent xmlns:mc="http://schemas.openxmlformats.org/markup-compatibility/2006">
          <mc:Choice Requires="x14">
            <control shapeId="15612" r:id="rId117" name="Check Box 252">
              <controlPr defaultSize="0" print="0" autoFill="0" autoLine="0" autoPict="0">
                <anchor moveWithCells="1">
                  <from>
                    <xdr:col>9</xdr:col>
                    <xdr:colOff>85725</xdr:colOff>
                    <xdr:row>119</xdr:row>
                    <xdr:rowOff>66675</xdr:rowOff>
                  </from>
                  <to>
                    <xdr:col>10</xdr:col>
                    <xdr:colOff>266700</xdr:colOff>
                    <xdr:row>119</xdr:row>
                    <xdr:rowOff>285750</xdr:rowOff>
                  </to>
                </anchor>
              </controlPr>
            </control>
          </mc:Choice>
        </mc:AlternateContent>
        <mc:AlternateContent xmlns:mc="http://schemas.openxmlformats.org/markup-compatibility/2006">
          <mc:Choice Requires="x14">
            <control shapeId="15613" r:id="rId118" name="Check Box 253">
              <controlPr defaultSize="0" print="0" autoFill="0" autoLine="0" autoPict="0">
                <anchor moveWithCells="1">
                  <from>
                    <xdr:col>9</xdr:col>
                    <xdr:colOff>85725</xdr:colOff>
                    <xdr:row>120</xdr:row>
                    <xdr:rowOff>66675</xdr:rowOff>
                  </from>
                  <to>
                    <xdr:col>10</xdr:col>
                    <xdr:colOff>266700</xdr:colOff>
                    <xdr:row>120</xdr:row>
                    <xdr:rowOff>285750</xdr:rowOff>
                  </to>
                </anchor>
              </controlPr>
            </control>
          </mc:Choice>
        </mc:AlternateContent>
        <mc:AlternateContent xmlns:mc="http://schemas.openxmlformats.org/markup-compatibility/2006">
          <mc:Choice Requires="x14">
            <control shapeId="15614" r:id="rId119" name="Check Box 254">
              <controlPr defaultSize="0" print="0" autoFill="0" autoLine="0" autoPict="0">
                <anchor moveWithCells="1">
                  <from>
                    <xdr:col>9</xdr:col>
                    <xdr:colOff>85725</xdr:colOff>
                    <xdr:row>121</xdr:row>
                    <xdr:rowOff>66675</xdr:rowOff>
                  </from>
                  <to>
                    <xdr:col>10</xdr:col>
                    <xdr:colOff>266700</xdr:colOff>
                    <xdr:row>121</xdr:row>
                    <xdr:rowOff>285750</xdr:rowOff>
                  </to>
                </anchor>
              </controlPr>
            </control>
          </mc:Choice>
        </mc:AlternateContent>
        <mc:AlternateContent xmlns:mc="http://schemas.openxmlformats.org/markup-compatibility/2006">
          <mc:Choice Requires="x14">
            <control shapeId="15615" r:id="rId120" name="Check Box 255">
              <controlPr defaultSize="0" print="0" autoFill="0" autoLine="0" autoPict="0">
                <anchor moveWithCells="1">
                  <from>
                    <xdr:col>9</xdr:col>
                    <xdr:colOff>85725</xdr:colOff>
                    <xdr:row>122</xdr:row>
                    <xdr:rowOff>66675</xdr:rowOff>
                  </from>
                  <to>
                    <xdr:col>10</xdr:col>
                    <xdr:colOff>266700</xdr:colOff>
                    <xdr:row>122</xdr:row>
                    <xdr:rowOff>285750</xdr:rowOff>
                  </to>
                </anchor>
              </controlPr>
            </control>
          </mc:Choice>
        </mc:AlternateContent>
        <mc:AlternateContent xmlns:mc="http://schemas.openxmlformats.org/markup-compatibility/2006">
          <mc:Choice Requires="x14">
            <control shapeId="15616" r:id="rId121" name="Check Box 256">
              <controlPr defaultSize="0" print="0" autoFill="0" autoLine="0" autoPict="0">
                <anchor moveWithCells="1">
                  <from>
                    <xdr:col>9</xdr:col>
                    <xdr:colOff>85725</xdr:colOff>
                    <xdr:row>123</xdr:row>
                    <xdr:rowOff>66675</xdr:rowOff>
                  </from>
                  <to>
                    <xdr:col>10</xdr:col>
                    <xdr:colOff>266700</xdr:colOff>
                    <xdr:row>123</xdr:row>
                    <xdr:rowOff>285750</xdr:rowOff>
                  </to>
                </anchor>
              </controlPr>
            </control>
          </mc:Choice>
        </mc:AlternateContent>
        <mc:AlternateContent xmlns:mc="http://schemas.openxmlformats.org/markup-compatibility/2006">
          <mc:Choice Requires="x14">
            <control shapeId="15617" r:id="rId122" name="Check Box 257">
              <controlPr defaultSize="0" print="0" autoFill="0" autoLine="0" autoPict="0">
                <anchor moveWithCells="1">
                  <from>
                    <xdr:col>9</xdr:col>
                    <xdr:colOff>85725</xdr:colOff>
                    <xdr:row>124</xdr:row>
                    <xdr:rowOff>66675</xdr:rowOff>
                  </from>
                  <to>
                    <xdr:col>10</xdr:col>
                    <xdr:colOff>266700</xdr:colOff>
                    <xdr:row>124</xdr:row>
                    <xdr:rowOff>285750</xdr:rowOff>
                  </to>
                </anchor>
              </controlPr>
            </control>
          </mc:Choice>
        </mc:AlternateContent>
        <mc:AlternateContent xmlns:mc="http://schemas.openxmlformats.org/markup-compatibility/2006">
          <mc:Choice Requires="x14">
            <control shapeId="15618" r:id="rId123" name="Check Box 258">
              <controlPr defaultSize="0" print="0" autoFill="0" autoLine="0" autoPict="0">
                <anchor moveWithCells="1">
                  <from>
                    <xdr:col>9</xdr:col>
                    <xdr:colOff>85725</xdr:colOff>
                    <xdr:row>125</xdr:row>
                    <xdr:rowOff>66675</xdr:rowOff>
                  </from>
                  <to>
                    <xdr:col>10</xdr:col>
                    <xdr:colOff>266700</xdr:colOff>
                    <xdr:row>125</xdr:row>
                    <xdr:rowOff>285750</xdr:rowOff>
                  </to>
                </anchor>
              </controlPr>
            </control>
          </mc:Choice>
        </mc:AlternateContent>
        <mc:AlternateContent xmlns:mc="http://schemas.openxmlformats.org/markup-compatibility/2006">
          <mc:Choice Requires="x14">
            <control shapeId="15619" r:id="rId124" name="Check Box 259">
              <controlPr defaultSize="0" print="0" autoFill="0" autoLine="0" autoPict="0">
                <anchor moveWithCells="1">
                  <from>
                    <xdr:col>9</xdr:col>
                    <xdr:colOff>85725</xdr:colOff>
                    <xdr:row>126</xdr:row>
                    <xdr:rowOff>66675</xdr:rowOff>
                  </from>
                  <to>
                    <xdr:col>10</xdr:col>
                    <xdr:colOff>266700</xdr:colOff>
                    <xdr:row>126</xdr:row>
                    <xdr:rowOff>285750</xdr:rowOff>
                  </to>
                </anchor>
              </controlPr>
            </control>
          </mc:Choice>
        </mc:AlternateContent>
        <mc:AlternateContent xmlns:mc="http://schemas.openxmlformats.org/markup-compatibility/2006">
          <mc:Choice Requires="x14">
            <control shapeId="15620" r:id="rId125" name="Check Box 260">
              <controlPr defaultSize="0" print="0" autoFill="0" autoLine="0" autoPict="0">
                <anchor moveWithCells="1">
                  <from>
                    <xdr:col>9</xdr:col>
                    <xdr:colOff>85725</xdr:colOff>
                    <xdr:row>127</xdr:row>
                    <xdr:rowOff>66675</xdr:rowOff>
                  </from>
                  <to>
                    <xdr:col>10</xdr:col>
                    <xdr:colOff>266700</xdr:colOff>
                    <xdr:row>127</xdr:row>
                    <xdr:rowOff>285750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5">
    <pageSetUpPr fitToPage="1"/>
  </sheetPr>
  <dimension ref="A1:AC150"/>
  <sheetViews>
    <sheetView showZeros="0" zoomScaleNormal="100" workbookViewId="0">
      <pane ySplit="5" topLeftCell="A6" activePane="bottomLeft" state="frozen"/>
      <selection pane="bottomLeft" activeCell="I1" sqref="I1"/>
    </sheetView>
  </sheetViews>
  <sheetFormatPr defaultRowHeight="15" x14ac:dyDescent="0.25"/>
  <cols>
    <col min="1" max="1" width="0.140625" style="27" customWidth="1"/>
    <col min="2" max="2" width="7.140625" style="15" customWidth="1"/>
    <col min="3" max="3" width="37" customWidth="1"/>
    <col min="4" max="5" width="8.5703125" style="15" customWidth="1"/>
    <col min="6" max="7" width="7.140625" customWidth="1"/>
    <col min="8" max="8" width="8.28515625" customWidth="1"/>
    <col min="9" max="10" width="7.5703125" customWidth="1"/>
    <col min="11" max="11" width="18.42578125" customWidth="1"/>
    <col min="17" max="17" width="11" customWidth="1"/>
    <col min="18" max="18" width="5.28515625" style="27" hidden="1" customWidth="1"/>
  </cols>
  <sheetData>
    <row r="1" spans="1:29" ht="28.5" customHeight="1" x14ac:dyDescent="0.25">
      <c r="B1" s="56"/>
      <c r="C1" s="119" t="s">
        <v>19</v>
      </c>
      <c r="D1" s="56"/>
      <c r="E1" s="56"/>
      <c r="F1" s="57"/>
      <c r="G1" s="57"/>
      <c r="H1" s="60" t="s">
        <v>14</v>
      </c>
      <c r="I1" s="11"/>
      <c r="J1" s="58"/>
      <c r="K1" s="117">
        <f ca="1">TODAY()</f>
        <v>46133</v>
      </c>
      <c r="L1" s="57"/>
      <c r="M1" s="57"/>
      <c r="N1" s="57"/>
      <c r="O1" s="57"/>
      <c r="P1" s="57"/>
      <c r="Q1" s="57"/>
      <c r="S1" s="57"/>
      <c r="T1" s="57"/>
      <c r="U1" s="57"/>
      <c r="V1" s="57"/>
      <c r="W1" s="57"/>
      <c r="X1" s="57"/>
      <c r="Y1" s="57"/>
      <c r="Z1" s="57"/>
      <c r="AA1" s="57"/>
      <c r="AB1" s="57"/>
      <c r="AC1" s="57"/>
    </row>
    <row r="2" spans="1:29" ht="19.5" customHeight="1" x14ac:dyDescent="0.25">
      <c r="A2" s="96"/>
      <c r="B2" s="56"/>
      <c r="C2" s="26"/>
      <c r="D2" s="56"/>
      <c r="E2" s="56"/>
      <c r="F2" s="57"/>
      <c r="G2" s="57"/>
      <c r="H2" s="59" t="str">
        <f>IF(K3=0,"Min. Trab./dia:","Min. Trab./dia/turno:")</f>
        <v>Min. Trab./dia/turno:</v>
      </c>
      <c r="I2" s="116"/>
      <c r="J2" s="57"/>
      <c r="K2" s="97"/>
      <c r="L2" s="57"/>
      <c r="M2" s="57"/>
      <c r="N2" s="57"/>
      <c r="O2" s="57"/>
      <c r="P2" s="57"/>
      <c r="Q2" s="57"/>
      <c r="R2" s="27" t="str">
        <f>IF(C2=0,"",IF(ISERROR(VLOOKUP(C2,'BD Seq Op'!B:H,1,FALSE)),"Não cadastrada.",""))</f>
        <v/>
      </c>
      <c r="S2" s="57"/>
      <c r="T2" s="57"/>
      <c r="U2" s="57"/>
      <c r="V2" s="57"/>
      <c r="W2" s="57"/>
      <c r="X2" s="57"/>
      <c r="Y2" s="57"/>
      <c r="Z2" s="57"/>
      <c r="AA2" s="57"/>
      <c r="AB2" s="57"/>
      <c r="AC2" s="57"/>
    </row>
    <row r="3" spans="1:29" ht="19.5" customHeight="1" x14ac:dyDescent="0.25">
      <c r="A3" s="98"/>
      <c r="B3" s="56"/>
      <c r="C3" s="308" t="str">
        <f>IF(C2=0,"",VLOOKUP(C2,Ref!A:B,2,FALSE))</f>
        <v/>
      </c>
      <c r="D3" s="308"/>
      <c r="E3" s="308"/>
      <c r="F3" s="110"/>
      <c r="G3" s="94"/>
      <c r="H3" s="60" t="str">
        <f>IF(R5=2,"% Efic. p/ Máq.: ","% Efic. Geral: ")</f>
        <v xml:space="preserve">% Efic. p/ Máq.: </v>
      </c>
      <c r="I3" s="114"/>
      <c r="J3" s="116"/>
      <c r="K3" s="97" t="s">
        <v>142</v>
      </c>
      <c r="L3" s="57"/>
      <c r="M3" s="57"/>
      <c r="N3" s="57"/>
      <c r="O3" s="57"/>
      <c r="P3" s="57"/>
      <c r="Q3" s="57"/>
      <c r="R3" s="115">
        <v>1</v>
      </c>
      <c r="S3" s="57"/>
      <c r="T3" s="57"/>
      <c r="U3" s="57"/>
      <c r="V3" s="57"/>
      <c r="W3" s="57"/>
      <c r="X3" s="57"/>
      <c r="Y3" s="57"/>
      <c r="Z3" s="57"/>
      <c r="AA3" s="57"/>
      <c r="AB3" s="57"/>
      <c r="AC3" s="57"/>
    </row>
    <row r="4" spans="1:29" s="27" customFormat="1" ht="0.2" customHeight="1" thickBot="1" x14ac:dyDescent="0.3">
      <c r="A4" s="99" t="s">
        <v>21</v>
      </c>
      <c r="B4" s="100" t="s">
        <v>13</v>
      </c>
      <c r="C4" s="101" t="s">
        <v>12</v>
      </c>
      <c r="D4" s="100" t="s">
        <v>4</v>
      </c>
      <c r="E4" s="100" t="s">
        <v>15</v>
      </c>
      <c r="F4" s="100" t="s">
        <v>11</v>
      </c>
      <c r="G4" s="100" t="s">
        <v>35</v>
      </c>
      <c r="H4" s="102" t="s">
        <v>10</v>
      </c>
      <c r="I4" s="102" t="s">
        <v>9</v>
      </c>
      <c r="J4" s="102" t="s">
        <v>8</v>
      </c>
      <c r="K4" s="100" t="s">
        <v>7</v>
      </c>
    </row>
    <row r="5" spans="1:29" ht="37.5" customHeight="1" thickBot="1" x14ac:dyDescent="0.3">
      <c r="A5" s="99" t="s">
        <v>22</v>
      </c>
      <c r="B5" s="61" t="s">
        <v>13</v>
      </c>
      <c r="C5" s="103" t="s">
        <v>12</v>
      </c>
      <c r="D5" s="61" t="s">
        <v>4</v>
      </c>
      <c r="E5" s="61" t="s">
        <v>15</v>
      </c>
      <c r="F5" s="61" t="s">
        <v>11</v>
      </c>
      <c r="G5" s="61" t="s">
        <v>39</v>
      </c>
      <c r="H5" s="104" t="str">
        <f>IF(R3=1,"Pçs/Hora 100%",IF(R3=2,"Pçs/Hora"&amp;TEXT(I3,"  0%"),"Pçs/Hora Efic. Máq."))</f>
        <v>Pçs/Hora 100%</v>
      </c>
      <c r="I5" s="61" t="s">
        <v>36</v>
      </c>
      <c r="J5" s="61" t="s">
        <v>37</v>
      </c>
      <c r="K5" s="61" t="s">
        <v>7</v>
      </c>
      <c r="L5" s="57"/>
      <c r="M5" s="57"/>
      <c r="N5" s="57"/>
      <c r="O5" s="57"/>
      <c r="P5" s="57"/>
      <c r="Q5" s="57"/>
      <c r="R5" s="51">
        <v>2</v>
      </c>
      <c r="S5" s="57"/>
      <c r="T5" s="57"/>
      <c r="U5" s="57"/>
      <c r="V5" s="57"/>
      <c r="W5" s="57"/>
      <c r="X5" s="57"/>
      <c r="Y5" s="57"/>
      <c r="Z5" s="57"/>
      <c r="AA5" s="57"/>
      <c r="AB5" s="57"/>
      <c r="AC5" s="57"/>
    </row>
    <row r="6" spans="1:29" ht="18" customHeight="1" x14ac:dyDescent="0.25">
      <c r="A6" s="32" t="str">
        <f>IF(C6="","Não","Sim")</f>
        <v>Não</v>
      </c>
      <c r="B6" s="105">
        <v>1</v>
      </c>
      <c r="C6" s="111" t="str">
        <f>IF($C$2=0,"",IF(ISERROR(VLOOKUP($C$2&amp;"-"&amp;$B6,'BD Seq Op'!$C:$H,2,FALSE)),"",VLOOKUP($C$2&amp;"-"&amp;$B6,'BD Seq Op'!$C:$H,2,FALSE)))</f>
        <v/>
      </c>
      <c r="D6" s="105" t="str">
        <f>IF($C$2=0,"",IF(ISERROR(VLOOKUP($C$2&amp;"-"&amp;$B6,'BD Seq Op'!$C:$H,3,FALSE)),"",VLOOKUP($C$2&amp;"-"&amp;$B6,'BD Seq Op'!$C:$H,3,FALSE)))</f>
        <v/>
      </c>
      <c r="E6" s="105" t="str">
        <f>IF($C$2=0,"",IF(ISERROR(VLOOKUP($C$2&amp;"-"&amp;$B6,'BD Seq Op'!$C:$H,4,FALSE)),"",VLOOKUP($C$2&amp;"-"&amp;$B6,'BD Seq Op'!$C:$H,4,FALSE)))</f>
        <v/>
      </c>
      <c r="F6" s="62" t="str">
        <f>IF($C$2=0,"",IF(ISERROR(VLOOKUP($C$2&amp;"-"&amp;$B6,'BD Seq Op'!$C:$H,5,FALSE)),"",VLOOKUP($C$2&amp;"-"&amp;$B6,'BD Seq Op'!$C:$H,5,FALSE)))</f>
        <v/>
      </c>
      <c r="G6" s="112" t="str">
        <f>IF(D6="","",VLOOKUP(D6,Máquinas!A:C,3,FALSE))</f>
        <v/>
      </c>
      <c r="H6" s="113" t="str">
        <f>IF(F6="","",IF($R$3=1,60/F6,IF($R$3=2,(60*$I$3)/F6,(60*G6)/F6)))</f>
        <v/>
      </c>
      <c r="I6" s="62">
        <f>IF(F6="",0,IF($I$2=0,0,IF($J$3=0,0,IF($R$5=2,(F6*$I$1/(($J$3*$I$2)*G6)),IF($I$3=0,0,(F6*$I$1/(($J$3*$I$2)*$I$3)))))))</f>
        <v>0</v>
      </c>
      <c r="J6" s="62">
        <f>IF(I6=0,0,I6*$J$3)</f>
        <v>0</v>
      </c>
      <c r="K6" s="9"/>
      <c r="L6" s="57"/>
      <c r="M6" s="268" t="s">
        <v>141</v>
      </c>
      <c r="N6" s="57"/>
      <c r="O6" s="57"/>
      <c r="P6" s="57"/>
      <c r="Q6" s="57"/>
      <c r="R6" s="27" t="str">
        <f>IF($R$5=1,"% Efic. Geral","% Efic. p/ Máq.")</f>
        <v>% Efic. p/ Máq.</v>
      </c>
      <c r="S6" s="57"/>
      <c r="T6" s="57"/>
      <c r="U6" s="57"/>
      <c r="V6" s="57"/>
      <c r="W6" s="57"/>
      <c r="X6" s="57"/>
      <c r="Y6" s="57"/>
      <c r="Z6" s="57"/>
      <c r="AA6" s="57"/>
      <c r="AB6" s="57"/>
      <c r="AC6" s="57"/>
    </row>
    <row r="7" spans="1:29" ht="18" customHeight="1" thickBot="1" x14ac:dyDescent="0.3">
      <c r="A7" s="32" t="str">
        <f t="shared" ref="A7:A70" si="0">IF(C7="","Não","Sim")</f>
        <v>Não</v>
      </c>
      <c r="B7" s="106">
        <v>2</v>
      </c>
      <c r="C7" s="111" t="str">
        <f>IF($C$2=0,"",IF(ISERROR(VLOOKUP($C$2&amp;"-"&amp;$B7,'BD Seq Op'!$C:$H,2,FALSE)),"",VLOOKUP($C$2&amp;"-"&amp;$B7,'BD Seq Op'!$C:$H,2,FALSE)))</f>
        <v/>
      </c>
      <c r="D7" s="105" t="str">
        <f>IF($C$2=0,"",IF(ISERROR(VLOOKUP($C$2&amp;"-"&amp;$B7,'BD Seq Op'!$C:$H,3,FALSE)),"",VLOOKUP($C$2&amp;"-"&amp;$B7,'BD Seq Op'!$C:$H,3,FALSE)))</f>
        <v/>
      </c>
      <c r="E7" s="105" t="str">
        <f>IF($C$2=0,"",IF(ISERROR(VLOOKUP($C$2&amp;"-"&amp;$B7,'BD Seq Op'!$C:$H,4,FALSE)),"",VLOOKUP($C$2&amp;"-"&amp;$B7,'BD Seq Op'!$C:$H,4,FALSE)))</f>
        <v/>
      </c>
      <c r="F7" s="62" t="str">
        <f>IF($C$2=0,"",IF(ISERROR(VLOOKUP($C$2&amp;"-"&amp;$B7,'BD Seq Op'!$C:$H,5,FALSE)),"",VLOOKUP($C$2&amp;"-"&amp;$B7,'BD Seq Op'!$C:$H,5,FALSE)))</f>
        <v/>
      </c>
      <c r="G7" s="112" t="str">
        <f>IF(D7="","",VLOOKUP(D7,Máquinas!A:C,3,FALSE))</f>
        <v/>
      </c>
      <c r="H7" s="113" t="str">
        <f t="shared" ref="H7:H70" si="1">IF(F7="","",IF($R$3=1,60/F7,IF($R$3=2,(60*$I$3)/F7,(60*G7)/F7)))</f>
        <v/>
      </c>
      <c r="I7" s="62">
        <f t="shared" ref="I7:I70" si="2">IF(F7="",0,IF($I$2=0,0,IF($J$3=0,0,IF($R$5=2,(F7*$I$1/(($J$3*$I$2)*G7)),IF($I$3=0,0,(F7*$I$1/(($J$3*$I$2)*$I$3)))))))</f>
        <v>0</v>
      </c>
      <c r="J7" s="62">
        <f t="shared" ref="J7:J70" si="3">IF(I7=0,0,I7*$J$3)</f>
        <v>0</v>
      </c>
      <c r="K7" s="7"/>
      <c r="L7" s="57"/>
      <c r="M7" s="267" t="s">
        <v>139</v>
      </c>
      <c r="N7" s="267" t="s">
        <v>140</v>
      </c>
      <c r="O7" s="57"/>
      <c r="P7" s="57"/>
      <c r="Q7" s="57"/>
      <c r="R7" s="27" t="str">
        <f>IF($R$3=1,"Pçs/Hora 100% **",IF($R$3=2,"Pçs/Hora com % Efic. Geral **","Pçs/Hora com % Efic. Máq. **"))</f>
        <v>Pçs/Hora 100% **</v>
      </c>
      <c r="S7" s="57"/>
      <c r="T7" s="57"/>
      <c r="U7" s="57"/>
      <c r="V7" s="57"/>
      <c r="W7" s="57"/>
      <c r="X7" s="57"/>
      <c r="Y7" s="57"/>
      <c r="Z7" s="57"/>
      <c r="AA7" s="57"/>
      <c r="AB7" s="57"/>
      <c r="AC7" s="57"/>
    </row>
    <row r="8" spans="1:29" ht="18" customHeight="1" x14ac:dyDescent="0.25">
      <c r="A8" s="32" t="str">
        <f t="shared" si="0"/>
        <v>Não</v>
      </c>
      <c r="B8" s="105">
        <v>3</v>
      </c>
      <c r="C8" s="111" t="str">
        <f>IF($C$2=0,"",IF(ISERROR(VLOOKUP($C$2&amp;"-"&amp;$B8,'BD Seq Op'!$C:$H,2,FALSE)),"",VLOOKUP($C$2&amp;"-"&amp;$B8,'BD Seq Op'!$C:$H,2,FALSE)))</f>
        <v/>
      </c>
      <c r="D8" s="105" t="str">
        <f>IF($C$2=0,"",IF(ISERROR(VLOOKUP($C$2&amp;"-"&amp;$B8,'BD Seq Op'!$C:$H,3,FALSE)),"",VLOOKUP($C$2&amp;"-"&amp;$B8,'BD Seq Op'!$C:$H,3,FALSE)))</f>
        <v/>
      </c>
      <c r="E8" s="105" t="str">
        <f>IF($C$2=0,"",IF(ISERROR(VLOOKUP($C$2&amp;"-"&amp;$B8,'BD Seq Op'!$C:$H,4,FALSE)),"",VLOOKUP($C$2&amp;"-"&amp;$B8,'BD Seq Op'!$C:$H,4,FALSE)))</f>
        <v/>
      </c>
      <c r="F8" s="62" t="str">
        <f>IF($C$2=0,"",IF(ISERROR(VLOOKUP($C$2&amp;"-"&amp;$B8,'BD Seq Op'!$C:$H,5,FALSE)),"",VLOOKUP($C$2&amp;"-"&amp;$B8,'BD Seq Op'!$C:$H,5,FALSE)))</f>
        <v/>
      </c>
      <c r="G8" s="112" t="str">
        <f>IF(D8="","",VLOOKUP(D8,Máquinas!A:C,3,FALSE))</f>
        <v/>
      </c>
      <c r="H8" s="113" t="str">
        <f t="shared" si="1"/>
        <v/>
      </c>
      <c r="I8" s="62">
        <f t="shared" si="2"/>
        <v>0</v>
      </c>
      <c r="J8" s="62">
        <f t="shared" si="3"/>
        <v>0</v>
      </c>
      <c r="K8" s="7"/>
      <c r="L8" s="57"/>
      <c r="M8" s="10"/>
      <c r="N8" s="62">
        <f>SUMIF($D$6:$D$125,M8,$I$6:$I$125)</f>
        <v>0</v>
      </c>
      <c r="O8" s="57"/>
      <c r="P8" s="57"/>
      <c r="Q8" s="57"/>
      <c r="R8" s="27" t="str">
        <f>IF(AND(I3=0,R5=1),"Informe a Eficiência","")</f>
        <v/>
      </c>
      <c r="S8" s="57"/>
      <c r="T8" s="57"/>
      <c r="U8" s="57"/>
      <c r="V8" s="57"/>
      <c r="W8" s="57"/>
      <c r="X8" s="57"/>
      <c r="Y8" s="57"/>
      <c r="Z8" s="57"/>
      <c r="AA8" s="57"/>
      <c r="AB8" s="57"/>
      <c r="AC8" s="57"/>
    </row>
    <row r="9" spans="1:29" ht="18" customHeight="1" x14ac:dyDescent="0.25">
      <c r="A9" s="32" t="str">
        <f t="shared" si="0"/>
        <v>Não</v>
      </c>
      <c r="B9" s="106">
        <v>4</v>
      </c>
      <c r="C9" s="111" t="str">
        <f>IF($C$2=0,"",IF(ISERROR(VLOOKUP($C$2&amp;"-"&amp;$B9,'BD Seq Op'!$C:$H,2,FALSE)),"",VLOOKUP($C$2&amp;"-"&amp;$B9,'BD Seq Op'!$C:$H,2,FALSE)))</f>
        <v/>
      </c>
      <c r="D9" s="105" t="str">
        <f>IF($C$2=0,"",IF(ISERROR(VLOOKUP($C$2&amp;"-"&amp;$B9,'BD Seq Op'!$C:$H,3,FALSE)),"",VLOOKUP($C$2&amp;"-"&amp;$B9,'BD Seq Op'!$C:$H,3,FALSE)))</f>
        <v/>
      </c>
      <c r="E9" s="105" t="str">
        <f>IF($C$2=0,"",IF(ISERROR(VLOOKUP($C$2&amp;"-"&amp;$B9,'BD Seq Op'!$C:$H,4,FALSE)),"",VLOOKUP($C$2&amp;"-"&amp;$B9,'BD Seq Op'!$C:$H,4,FALSE)))</f>
        <v/>
      </c>
      <c r="F9" s="62" t="str">
        <f>IF($C$2=0,"",IF(ISERROR(VLOOKUP($C$2&amp;"-"&amp;$B9,'BD Seq Op'!$C:$H,5,FALSE)),"",VLOOKUP($C$2&amp;"-"&amp;$B9,'BD Seq Op'!$C:$H,5,FALSE)))</f>
        <v/>
      </c>
      <c r="G9" s="112" t="str">
        <f>IF(D9="","",VLOOKUP(D9,Máquinas!A:C,3,FALSE))</f>
        <v/>
      </c>
      <c r="H9" s="113" t="str">
        <f t="shared" si="1"/>
        <v/>
      </c>
      <c r="I9" s="62">
        <f t="shared" si="2"/>
        <v>0</v>
      </c>
      <c r="J9" s="62">
        <f t="shared" si="3"/>
        <v>0</v>
      </c>
      <c r="K9" s="7"/>
      <c r="L9" s="57"/>
      <c r="M9" s="8"/>
      <c r="N9" s="62">
        <f t="shared" ref="N9:N17" si="4">SUMIF($D$6:$D$125,M9,$I$6:$I$125)</f>
        <v>0</v>
      </c>
      <c r="O9" s="57"/>
      <c r="P9" s="57"/>
      <c r="Q9" s="57"/>
      <c r="S9" s="57"/>
      <c r="T9" s="57"/>
      <c r="U9" s="57"/>
      <c r="V9" s="57"/>
      <c r="W9" s="57"/>
      <c r="X9" s="57"/>
      <c r="Y9" s="57"/>
      <c r="Z9" s="57"/>
      <c r="AA9" s="57"/>
      <c r="AB9" s="57"/>
      <c r="AC9" s="57"/>
    </row>
    <row r="10" spans="1:29" ht="18" customHeight="1" x14ac:dyDescent="0.25">
      <c r="A10" s="32" t="str">
        <f t="shared" si="0"/>
        <v>Não</v>
      </c>
      <c r="B10" s="105">
        <v>5</v>
      </c>
      <c r="C10" s="111" t="str">
        <f>IF($C$2=0,"",IF(ISERROR(VLOOKUP($C$2&amp;"-"&amp;$B10,'BD Seq Op'!$C:$H,2,FALSE)),"",VLOOKUP($C$2&amp;"-"&amp;$B10,'BD Seq Op'!$C:$H,2,FALSE)))</f>
        <v/>
      </c>
      <c r="D10" s="105" t="str">
        <f>IF($C$2=0,"",IF(ISERROR(VLOOKUP($C$2&amp;"-"&amp;$B10,'BD Seq Op'!$C:$H,3,FALSE)),"",VLOOKUP($C$2&amp;"-"&amp;$B10,'BD Seq Op'!$C:$H,3,FALSE)))</f>
        <v/>
      </c>
      <c r="E10" s="105" t="str">
        <f>IF($C$2=0,"",IF(ISERROR(VLOOKUP($C$2&amp;"-"&amp;$B10,'BD Seq Op'!$C:$H,4,FALSE)),"",VLOOKUP($C$2&amp;"-"&amp;$B10,'BD Seq Op'!$C:$H,4,FALSE)))</f>
        <v/>
      </c>
      <c r="F10" s="62" t="str">
        <f>IF($C$2=0,"",IF(ISERROR(VLOOKUP($C$2&amp;"-"&amp;$B10,'BD Seq Op'!$C:$H,5,FALSE)),"",VLOOKUP($C$2&amp;"-"&amp;$B10,'BD Seq Op'!$C:$H,5,FALSE)))</f>
        <v/>
      </c>
      <c r="G10" s="112" t="str">
        <f>IF(D10="","",VLOOKUP(D10,Máquinas!A:C,3,FALSE))</f>
        <v/>
      </c>
      <c r="H10" s="113" t="str">
        <f t="shared" si="1"/>
        <v/>
      </c>
      <c r="I10" s="62">
        <f t="shared" si="2"/>
        <v>0</v>
      </c>
      <c r="J10" s="62">
        <f t="shared" si="3"/>
        <v>0</v>
      </c>
      <c r="K10" s="7"/>
      <c r="L10" s="57"/>
      <c r="M10" s="8"/>
      <c r="N10" s="62">
        <f t="shared" si="4"/>
        <v>0</v>
      </c>
      <c r="O10" s="57"/>
      <c r="P10" s="57"/>
      <c r="Q10" s="57"/>
      <c r="S10" s="57"/>
      <c r="T10" s="57"/>
      <c r="U10" s="57"/>
      <c r="V10" s="57"/>
      <c r="W10" s="57"/>
      <c r="X10" s="57"/>
      <c r="Y10" s="57"/>
      <c r="Z10" s="57"/>
      <c r="AA10" s="57"/>
      <c r="AB10" s="57"/>
      <c r="AC10" s="57"/>
    </row>
    <row r="11" spans="1:29" ht="18" customHeight="1" x14ac:dyDescent="0.25">
      <c r="A11" s="32" t="str">
        <f t="shared" si="0"/>
        <v>Não</v>
      </c>
      <c r="B11" s="106">
        <v>6</v>
      </c>
      <c r="C11" s="111" t="str">
        <f>IF($C$2=0,"",IF(ISERROR(VLOOKUP($C$2&amp;"-"&amp;$B11,'BD Seq Op'!$C:$H,2,FALSE)),"",VLOOKUP($C$2&amp;"-"&amp;$B11,'BD Seq Op'!$C:$H,2,FALSE)))</f>
        <v/>
      </c>
      <c r="D11" s="105" t="str">
        <f>IF($C$2=0,"",IF(ISERROR(VLOOKUP($C$2&amp;"-"&amp;$B11,'BD Seq Op'!$C:$H,3,FALSE)),"",VLOOKUP($C$2&amp;"-"&amp;$B11,'BD Seq Op'!$C:$H,3,FALSE)))</f>
        <v/>
      </c>
      <c r="E11" s="105" t="str">
        <f>IF($C$2=0,"",IF(ISERROR(VLOOKUP($C$2&amp;"-"&amp;$B11,'BD Seq Op'!$C:$H,4,FALSE)),"",VLOOKUP($C$2&amp;"-"&amp;$B11,'BD Seq Op'!$C:$H,4,FALSE)))</f>
        <v/>
      </c>
      <c r="F11" s="62" t="str">
        <f>IF($C$2=0,"",IF(ISERROR(VLOOKUP($C$2&amp;"-"&amp;$B11,'BD Seq Op'!$C:$H,5,FALSE)),"",VLOOKUP($C$2&amp;"-"&amp;$B11,'BD Seq Op'!$C:$H,5,FALSE)))</f>
        <v/>
      </c>
      <c r="G11" s="112" t="str">
        <f>IF(D11="","",VLOOKUP(D11,Máquinas!A:C,3,FALSE))</f>
        <v/>
      </c>
      <c r="H11" s="113" t="str">
        <f t="shared" si="1"/>
        <v/>
      </c>
      <c r="I11" s="62">
        <f t="shared" si="2"/>
        <v>0</v>
      </c>
      <c r="J11" s="62">
        <f t="shared" si="3"/>
        <v>0</v>
      </c>
      <c r="K11" s="7"/>
      <c r="L11" s="57"/>
      <c r="M11" s="8"/>
      <c r="N11" s="62">
        <f t="shared" si="4"/>
        <v>0</v>
      </c>
      <c r="O11" s="57"/>
      <c r="P11" s="57"/>
      <c r="Q11" s="57"/>
      <c r="S11" s="57"/>
      <c r="T11" s="57"/>
      <c r="U11" s="57"/>
      <c r="V11" s="57"/>
      <c r="W11" s="57"/>
      <c r="X11" s="57"/>
      <c r="Y11" s="57"/>
      <c r="Z11" s="57"/>
      <c r="AA11" s="57"/>
      <c r="AB11" s="57"/>
      <c r="AC11" s="57"/>
    </row>
    <row r="12" spans="1:29" ht="18" customHeight="1" x14ac:dyDescent="0.25">
      <c r="A12" s="32" t="str">
        <f t="shared" si="0"/>
        <v>Não</v>
      </c>
      <c r="B12" s="105">
        <v>7</v>
      </c>
      <c r="C12" s="111" t="str">
        <f>IF($C$2=0,"",IF(ISERROR(VLOOKUP($C$2&amp;"-"&amp;$B12,'BD Seq Op'!$C:$H,2,FALSE)),"",VLOOKUP($C$2&amp;"-"&amp;$B12,'BD Seq Op'!$C:$H,2,FALSE)))</f>
        <v/>
      </c>
      <c r="D12" s="105" t="str">
        <f>IF($C$2=0,"",IF(ISERROR(VLOOKUP($C$2&amp;"-"&amp;$B12,'BD Seq Op'!$C:$H,3,FALSE)),"",VLOOKUP($C$2&amp;"-"&amp;$B12,'BD Seq Op'!$C:$H,3,FALSE)))</f>
        <v/>
      </c>
      <c r="E12" s="105" t="str">
        <f>IF($C$2=0,"",IF(ISERROR(VLOOKUP($C$2&amp;"-"&amp;$B12,'BD Seq Op'!$C:$H,4,FALSE)),"",VLOOKUP($C$2&amp;"-"&amp;$B12,'BD Seq Op'!$C:$H,4,FALSE)))</f>
        <v/>
      </c>
      <c r="F12" s="62" t="str">
        <f>IF($C$2=0,"",IF(ISERROR(VLOOKUP($C$2&amp;"-"&amp;$B12,'BD Seq Op'!$C:$H,5,FALSE)),"",VLOOKUP($C$2&amp;"-"&amp;$B12,'BD Seq Op'!$C:$H,5,FALSE)))</f>
        <v/>
      </c>
      <c r="G12" s="112" t="str">
        <f>IF(D12="","",VLOOKUP(D12,Máquinas!A:C,3,FALSE))</f>
        <v/>
      </c>
      <c r="H12" s="113" t="str">
        <f t="shared" si="1"/>
        <v/>
      </c>
      <c r="I12" s="62">
        <f t="shared" si="2"/>
        <v>0</v>
      </c>
      <c r="J12" s="62">
        <f t="shared" si="3"/>
        <v>0</v>
      </c>
      <c r="K12" s="177"/>
      <c r="L12" s="57"/>
      <c r="M12" s="8"/>
      <c r="N12" s="62">
        <f t="shared" si="4"/>
        <v>0</v>
      </c>
      <c r="O12" s="57"/>
      <c r="P12" s="57"/>
      <c r="Q12" s="57"/>
      <c r="S12" s="57"/>
      <c r="T12" s="57"/>
      <c r="U12" s="57"/>
      <c r="V12" s="57"/>
      <c r="W12" s="57"/>
      <c r="X12" s="57"/>
      <c r="Y12" s="57"/>
      <c r="Z12" s="57"/>
      <c r="AA12" s="57"/>
      <c r="AB12" s="57"/>
      <c r="AC12" s="57"/>
    </row>
    <row r="13" spans="1:29" ht="18" customHeight="1" x14ac:dyDescent="0.25">
      <c r="A13" s="32" t="str">
        <f t="shared" si="0"/>
        <v>Não</v>
      </c>
      <c r="B13" s="106">
        <v>8</v>
      </c>
      <c r="C13" s="111" t="str">
        <f>IF($C$2=0,"",IF(ISERROR(VLOOKUP($C$2&amp;"-"&amp;$B13,'BD Seq Op'!$C:$H,2,FALSE)),"",VLOOKUP($C$2&amp;"-"&amp;$B13,'BD Seq Op'!$C:$H,2,FALSE)))</f>
        <v/>
      </c>
      <c r="D13" s="105" t="str">
        <f>IF($C$2=0,"",IF(ISERROR(VLOOKUP($C$2&amp;"-"&amp;$B13,'BD Seq Op'!$C:$H,3,FALSE)),"",VLOOKUP($C$2&amp;"-"&amp;$B13,'BD Seq Op'!$C:$H,3,FALSE)))</f>
        <v/>
      </c>
      <c r="E13" s="105" t="str">
        <f>IF($C$2=0,"",IF(ISERROR(VLOOKUP($C$2&amp;"-"&amp;$B13,'BD Seq Op'!$C:$H,4,FALSE)),"",VLOOKUP($C$2&amp;"-"&amp;$B13,'BD Seq Op'!$C:$H,4,FALSE)))</f>
        <v/>
      </c>
      <c r="F13" s="62" t="str">
        <f>IF($C$2=0,"",IF(ISERROR(VLOOKUP($C$2&amp;"-"&amp;$B13,'BD Seq Op'!$C:$H,5,FALSE)),"",VLOOKUP($C$2&amp;"-"&amp;$B13,'BD Seq Op'!$C:$H,5,FALSE)))</f>
        <v/>
      </c>
      <c r="G13" s="112" t="str">
        <f>IF(D13="","",VLOOKUP(D13,Máquinas!A:C,3,FALSE))</f>
        <v/>
      </c>
      <c r="H13" s="113" t="str">
        <f t="shared" si="1"/>
        <v/>
      </c>
      <c r="I13" s="62">
        <f t="shared" si="2"/>
        <v>0</v>
      </c>
      <c r="J13" s="62">
        <f t="shared" si="3"/>
        <v>0</v>
      </c>
      <c r="K13" s="7"/>
      <c r="L13" s="57"/>
      <c r="M13" s="8"/>
      <c r="N13" s="62">
        <f t="shared" si="4"/>
        <v>0</v>
      </c>
      <c r="O13" s="57"/>
      <c r="P13" s="57"/>
      <c r="Q13" s="57"/>
      <c r="S13" s="57"/>
      <c r="T13" s="57"/>
      <c r="U13" s="57"/>
      <c r="V13" s="57"/>
      <c r="W13" s="57"/>
      <c r="X13" s="57"/>
      <c r="Y13" s="57"/>
      <c r="Z13" s="57"/>
      <c r="AA13" s="57"/>
      <c r="AB13" s="57"/>
      <c r="AC13" s="57"/>
    </row>
    <row r="14" spans="1:29" ht="18" customHeight="1" x14ac:dyDescent="0.25">
      <c r="A14" s="32" t="str">
        <f t="shared" si="0"/>
        <v>Não</v>
      </c>
      <c r="B14" s="105">
        <v>9</v>
      </c>
      <c r="C14" s="111" t="str">
        <f>IF($C$2=0,"",IF(ISERROR(VLOOKUP($C$2&amp;"-"&amp;$B14,'BD Seq Op'!$C:$H,2,FALSE)),"",VLOOKUP($C$2&amp;"-"&amp;$B14,'BD Seq Op'!$C:$H,2,FALSE)))</f>
        <v/>
      </c>
      <c r="D14" s="105" t="str">
        <f>IF($C$2=0,"",IF(ISERROR(VLOOKUP($C$2&amp;"-"&amp;$B14,'BD Seq Op'!$C:$H,3,FALSE)),"",VLOOKUP($C$2&amp;"-"&amp;$B14,'BD Seq Op'!$C:$H,3,FALSE)))</f>
        <v/>
      </c>
      <c r="E14" s="105" t="str">
        <f>IF($C$2=0,"",IF(ISERROR(VLOOKUP($C$2&amp;"-"&amp;$B14,'BD Seq Op'!$C:$H,4,FALSE)),"",VLOOKUP($C$2&amp;"-"&amp;$B14,'BD Seq Op'!$C:$H,4,FALSE)))</f>
        <v/>
      </c>
      <c r="F14" s="62" t="str">
        <f>IF($C$2=0,"",IF(ISERROR(VLOOKUP($C$2&amp;"-"&amp;$B14,'BD Seq Op'!$C:$H,5,FALSE)),"",VLOOKUP($C$2&amp;"-"&amp;$B14,'BD Seq Op'!$C:$H,5,FALSE)))</f>
        <v/>
      </c>
      <c r="G14" s="112" t="str">
        <f>IF(D14="","",VLOOKUP(D14,Máquinas!A:C,3,FALSE))</f>
        <v/>
      </c>
      <c r="H14" s="113" t="str">
        <f t="shared" si="1"/>
        <v/>
      </c>
      <c r="I14" s="62">
        <f t="shared" si="2"/>
        <v>0</v>
      </c>
      <c r="J14" s="62">
        <f t="shared" si="3"/>
        <v>0</v>
      </c>
      <c r="K14" s="7"/>
      <c r="L14" s="57"/>
      <c r="M14" s="8"/>
      <c r="N14" s="62">
        <f t="shared" si="4"/>
        <v>0</v>
      </c>
      <c r="O14" s="57"/>
      <c r="P14" s="57"/>
      <c r="Q14" s="57"/>
      <c r="S14" s="57"/>
      <c r="T14" s="57"/>
      <c r="U14" s="57"/>
      <c r="V14" s="57"/>
      <c r="W14" s="57"/>
      <c r="X14" s="57"/>
      <c r="Y14" s="57"/>
      <c r="Z14" s="57"/>
      <c r="AA14" s="57"/>
      <c r="AB14" s="57"/>
      <c r="AC14" s="57"/>
    </row>
    <row r="15" spans="1:29" ht="18" customHeight="1" x14ac:dyDescent="0.25">
      <c r="A15" s="32" t="str">
        <f t="shared" si="0"/>
        <v>Não</v>
      </c>
      <c r="B15" s="106">
        <v>10</v>
      </c>
      <c r="C15" s="111" t="str">
        <f>IF($C$2=0,"",IF(ISERROR(VLOOKUP($C$2&amp;"-"&amp;$B15,'BD Seq Op'!$C:$H,2,FALSE)),"",VLOOKUP($C$2&amp;"-"&amp;$B15,'BD Seq Op'!$C:$H,2,FALSE)))</f>
        <v/>
      </c>
      <c r="D15" s="105" t="str">
        <f>IF($C$2=0,"",IF(ISERROR(VLOOKUP($C$2&amp;"-"&amp;$B15,'BD Seq Op'!$C:$H,3,FALSE)),"",VLOOKUP($C$2&amp;"-"&amp;$B15,'BD Seq Op'!$C:$H,3,FALSE)))</f>
        <v/>
      </c>
      <c r="E15" s="105" t="str">
        <f>IF($C$2=0,"",IF(ISERROR(VLOOKUP($C$2&amp;"-"&amp;$B15,'BD Seq Op'!$C:$H,4,FALSE)),"",VLOOKUP($C$2&amp;"-"&amp;$B15,'BD Seq Op'!$C:$H,4,FALSE)))</f>
        <v/>
      </c>
      <c r="F15" s="62" t="str">
        <f>IF($C$2=0,"",IF(ISERROR(VLOOKUP($C$2&amp;"-"&amp;$B15,'BD Seq Op'!$C:$H,5,FALSE)),"",VLOOKUP($C$2&amp;"-"&amp;$B15,'BD Seq Op'!$C:$H,5,FALSE)))</f>
        <v/>
      </c>
      <c r="G15" s="112" t="str">
        <f>IF(D15="","",VLOOKUP(D15,Máquinas!A:C,3,FALSE))</f>
        <v/>
      </c>
      <c r="H15" s="113" t="str">
        <f t="shared" si="1"/>
        <v/>
      </c>
      <c r="I15" s="62">
        <f t="shared" si="2"/>
        <v>0</v>
      </c>
      <c r="J15" s="62">
        <f t="shared" si="3"/>
        <v>0</v>
      </c>
      <c r="K15" s="7"/>
      <c r="L15" s="57"/>
      <c r="M15" s="8"/>
      <c r="N15" s="62">
        <f t="shared" si="4"/>
        <v>0</v>
      </c>
      <c r="O15" s="57"/>
      <c r="P15" s="57"/>
      <c r="Q15" s="57"/>
      <c r="S15" s="57"/>
      <c r="T15" s="57"/>
      <c r="U15" s="57"/>
      <c r="V15" s="57"/>
      <c r="W15" s="57"/>
      <c r="X15" s="57"/>
      <c r="Y15" s="57"/>
      <c r="Z15" s="57"/>
      <c r="AA15" s="57"/>
      <c r="AB15" s="57"/>
      <c r="AC15" s="57"/>
    </row>
    <row r="16" spans="1:29" ht="18" customHeight="1" x14ac:dyDescent="0.25">
      <c r="A16" s="32" t="str">
        <f t="shared" si="0"/>
        <v>Não</v>
      </c>
      <c r="B16" s="105">
        <v>11</v>
      </c>
      <c r="C16" s="111" t="str">
        <f>IF($C$2=0,"",IF(ISERROR(VLOOKUP($C$2&amp;"-"&amp;$B16,'BD Seq Op'!$C:$H,2,FALSE)),"",VLOOKUP($C$2&amp;"-"&amp;$B16,'BD Seq Op'!$C:$H,2,FALSE)))</f>
        <v/>
      </c>
      <c r="D16" s="105" t="str">
        <f>IF($C$2=0,"",IF(ISERROR(VLOOKUP($C$2&amp;"-"&amp;$B16,'BD Seq Op'!$C:$H,3,FALSE)),"",VLOOKUP($C$2&amp;"-"&amp;$B16,'BD Seq Op'!$C:$H,3,FALSE)))</f>
        <v/>
      </c>
      <c r="E16" s="105" t="str">
        <f>IF($C$2=0,"",IF(ISERROR(VLOOKUP($C$2&amp;"-"&amp;$B16,'BD Seq Op'!$C:$H,4,FALSE)),"",VLOOKUP($C$2&amp;"-"&amp;$B16,'BD Seq Op'!$C:$H,4,FALSE)))</f>
        <v/>
      </c>
      <c r="F16" s="62" t="str">
        <f>IF($C$2=0,"",IF(ISERROR(VLOOKUP($C$2&amp;"-"&amp;$B16,'BD Seq Op'!$C:$H,5,FALSE)),"",VLOOKUP($C$2&amp;"-"&amp;$B16,'BD Seq Op'!$C:$H,5,FALSE)))</f>
        <v/>
      </c>
      <c r="G16" s="112" t="str">
        <f>IF(D16="","",VLOOKUP(D16,Máquinas!A:C,3,FALSE))</f>
        <v/>
      </c>
      <c r="H16" s="113" t="str">
        <f t="shared" si="1"/>
        <v/>
      </c>
      <c r="I16" s="62">
        <f t="shared" si="2"/>
        <v>0</v>
      </c>
      <c r="J16" s="62">
        <f t="shared" si="3"/>
        <v>0</v>
      </c>
      <c r="K16" s="7"/>
      <c r="L16" s="57"/>
      <c r="M16" s="8"/>
      <c r="N16" s="62">
        <f t="shared" si="4"/>
        <v>0</v>
      </c>
      <c r="O16" s="57"/>
      <c r="P16" s="57"/>
      <c r="Q16" s="57"/>
      <c r="S16" s="57"/>
      <c r="T16" s="57"/>
      <c r="U16" s="57"/>
      <c r="V16" s="57"/>
      <c r="W16" s="57"/>
      <c r="X16" s="57"/>
      <c r="Y16" s="57"/>
      <c r="Z16" s="57"/>
      <c r="AA16" s="57"/>
      <c r="AB16" s="57"/>
      <c r="AC16" s="57"/>
    </row>
    <row r="17" spans="1:29" ht="18" customHeight="1" x14ac:dyDescent="0.25">
      <c r="A17" s="32" t="str">
        <f t="shared" si="0"/>
        <v>Não</v>
      </c>
      <c r="B17" s="106">
        <v>12</v>
      </c>
      <c r="C17" s="111" t="str">
        <f>IF($C$2=0,"",IF(ISERROR(VLOOKUP($C$2&amp;"-"&amp;$B17,'BD Seq Op'!$C:$H,2,FALSE)),"",VLOOKUP($C$2&amp;"-"&amp;$B17,'BD Seq Op'!$C:$H,2,FALSE)))</f>
        <v/>
      </c>
      <c r="D17" s="105" t="str">
        <f>IF($C$2=0,"",IF(ISERROR(VLOOKUP($C$2&amp;"-"&amp;$B17,'BD Seq Op'!$C:$H,3,FALSE)),"",VLOOKUP($C$2&amp;"-"&amp;$B17,'BD Seq Op'!$C:$H,3,FALSE)))</f>
        <v/>
      </c>
      <c r="E17" s="105" t="str">
        <f>IF($C$2=0,"",IF(ISERROR(VLOOKUP($C$2&amp;"-"&amp;$B17,'BD Seq Op'!$C:$H,4,FALSE)),"",VLOOKUP($C$2&amp;"-"&amp;$B17,'BD Seq Op'!$C:$H,4,FALSE)))</f>
        <v/>
      </c>
      <c r="F17" s="62" t="str">
        <f>IF($C$2=0,"",IF(ISERROR(VLOOKUP($C$2&amp;"-"&amp;$B17,'BD Seq Op'!$C:$H,5,FALSE)),"",VLOOKUP($C$2&amp;"-"&amp;$B17,'BD Seq Op'!$C:$H,5,FALSE)))</f>
        <v/>
      </c>
      <c r="G17" s="112" t="str">
        <f>IF(D17="","",VLOOKUP(D17,Máquinas!A:C,3,FALSE))</f>
        <v/>
      </c>
      <c r="H17" s="113" t="str">
        <f t="shared" si="1"/>
        <v/>
      </c>
      <c r="I17" s="62">
        <f t="shared" si="2"/>
        <v>0</v>
      </c>
      <c r="J17" s="62">
        <f t="shared" si="3"/>
        <v>0</v>
      </c>
      <c r="K17" s="7"/>
      <c r="L17" s="57"/>
      <c r="M17" s="8"/>
      <c r="N17" s="62">
        <f t="shared" si="4"/>
        <v>0</v>
      </c>
      <c r="O17" s="57"/>
      <c r="P17" s="57"/>
      <c r="Q17" s="57"/>
      <c r="S17" s="57"/>
      <c r="T17" s="57"/>
      <c r="U17" s="57"/>
      <c r="V17" s="57"/>
      <c r="W17" s="57"/>
      <c r="X17" s="57"/>
      <c r="Y17" s="57"/>
      <c r="Z17" s="57"/>
      <c r="AA17" s="57"/>
      <c r="AB17" s="57"/>
      <c r="AC17" s="57"/>
    </row>
    <row r="18" spans="1:29" ht="18" customHeight="1" x14ac:dyDescent="0.25">
      <c r="A18" s="32" t="str">
        <f t="shared" si="0"/>
        <v>Não</v>
      </c>
      <c r="B18" s="105">
        <v>13</v>
      </c>
      <c r="C18" s="111" t="str">
        <f>IF($C$2=0,"",IF(ISERROR(VLOOKUP($C$2&amp;"-"&amp;$B18,'BD Seq Op'!$C:$H,2,FALSE)),"",VLOOKUP($C$2&amp;"-"&amp;$B18,'BD Seq Op'!$C:$H,2,FALSE)))</f>
        <v/>
      </c>
      <c r="D18" s="105" t="str">
        <f>IF($C$2=0,"",IF(ISERROR(VLOOKUP($C$2&amp;"-"&amp;$B18,'BD Seq Op'!$C:$H,3,FALSE)),"",VLOOKUP($C$2&amp;"-"&amp;$B18,'BD Seq Op'!$C:$H,3,FALSE)))</f>
        <v/>
      </c>
      <c r="E18" s="105" t="str">
        <f>IF($C$2=0,"",IF(ISERROR(VLOOKUP($C$2&amp;"-"&amp;$B18,'BD Seq Op'!$C:$H,4,FALSE)),"",VLOOKUP($C$2&amp;"-"&amp;$B18,'BD Seq Op'!$C:$H,4,FALSE)))</f>
        <v/>
      </c>
      <c r="F18" s="62" t="str">
        <f>IF($C$2=0,"",IF(ISERROR(VLOOKUP($C$2&amp;"-"&amp;$B18,'BD Seq Op'!$C:$H,5,FALSE)),"",VLOOKUP($C$2&amp;"-"&amp;$B18,'BD Seq Op'!$C:$H,5,FALSE)))</f>
        <v/>
      </c>
      <c r="G18" s="112" t="str">
        <f>IF(D18="","",VLOOKUP(D18,Máquinas!A:C,3,FALSE))</f>
        <v/>
      </c>
      <c r="H18" s="113" t="str">
        <f t="shared" si="1"/>
        <v/>
      </c>
      <c r="I18" s="62">
        <f t="shared" si="2"/>
        <v>0</v>
      </c>
      <c r="J18" s="62">
        <f t="shared" si="3"/>
        <v>0</v>
      </c>
      <c r="K18" s="7"/>
      <c r="L18" s="57"/>
      <c r="M18" s="57"/>
      <c r="N18" s="57"/>
      <c r="O18" s="57"/>
      <c r="P18" s="57"/>
      <c r="Q18" s="57"/>
      <c r="S18" s="57"/>
      <c r="T18" s="57"/>
      <c r="U18" s="57"/>
      <c r="V18" s="57"/>
      <c r="W18" s="57"/>
      <c r="X18" s="57"/>
      <c r="Y18" s="57"/>
      <c r="Z18" s="57"/>
      <c r="AA18" s="57"/>
      <c r="AB18" s="57"/>
      <c r="AC18" s="57"/>
    </row>
    <row r="19" spans="1:29" ht="18" customHeight="1" x14ac:dyDescent="0.25">
      <c r="A19" s="32" t="str">
        <f t="shared" si="0"/>
        <v>Não</v>
      </c>
      <c r="B19" s="106">
        <v>14</v>
      </c>
      <c r="C19" s="111" t="str">
        <f>IF($C$2=0,"",IF(ISERROR(VLOOKUP($C$2&amp;"-"&amp;$B19,'BD Seq Op'!$C:$H,2,FALSE)),"",VLOOKUP($C$2&amp;"-"&amp;$B19,'BD Seq Op'!$C:$H,2,FALSE)))</f>
        <v/>
      </c>
      <c r="D19" s="105" t="str">
        <f>IF($C$2=0,"",IF(ISERROR(VLOOKUP($C$2&amp;"-"&amp;$B19,'BD Seq Op'!$C:$H,3,FALSE)),"",VLOOKUP($C$2&amp;"-"&amp;$B19,'BD Seq Op'!$C:$H,3,FALSE)))</f>
        <v/>
      </c>
      <c r="E19" s="105" t="str">
        <f>IF($C$2=0,"",IF(ISERROR(VLOOKUP($C$2&amp;"-"&amp;$B19,'BD Seq Op'!$C:$H,4,FALSE)),"",VLOOKUP($C$2&amp;"-"&amp;$B19,'BD Seq Op'!$C:$H,4,FALSE)))</f>
        <v/>
      </c>
      <c r="F19" s="62" t="str">
        <f>IF($C$2=0,"",IF(ISERROR(VLOOKUP($C$2&amp;"-"&amp;$B19,'BD Seq Op'!$C:$H,5,FALSE)),"",VLOOKUP($C$2&amp;"-"&amp;$B19,'BD Seq Op'!$C:$H,5,FALSE)))</f>
        <v/>
      </c>
      <c r="G19" s="112" t="str">
        <f>IF(D19="","",VLOOKUP(D19,Máquinas!A:C,3,FALSE))</f>
        <v/>
      </c>
      <c r="H19" s="113" t="str">
        <f t="shared" si="1"/>
        <v/>
      </c>
      <c r="I19" s="62">
        <f t="shared" si="2"/>
        <v>0</v>
      </c>
      <c r="J19" s="62">
        <f t="shared" si="3"/>
        <v>0</v>
      </c>
      <c r="K19" s="7"/>
      <c r="L19" s="57"/>
      <c r="M19" s="57"/>
      <c r="N19" s="57"/>
      <c r="O19" s="57"/>
      <c r="P19" s="57"/>
      <c r="Q19" s="57"/>
      <c r="S19" s="57"/>
      <c r="T19" s="57"/>
      <c r="U19" s="57"/>
      <c r="V19" s="57"/>
      <c r="W19" s="57"/>
      <c r="X19" s="57"/>
      <c r="Y19" s="57"/>
      <c r="Z19" s="57"/>
      <c r="AA19" s="57"/>
      <c r="AB19" s="57"/>
      <c r="AC19" s="57"/>
    </row>
    <row r="20" spans="1:29" ht="18" customHeight="1" x14ac:dyDescent="0.25">
      <c r="A20" s="32" t="str">
        <f t="shared" si="0"/>
        <v>Não</v>
      </c>
      <c r="B20" s="105">
        <v>15</v>
      </c>
      <c r="C20" s="111" t="str">
        <f>IF($C$2=0,"",IF(ISERROR(VLOOKUP($C$2&amp;"-"&amp;$B20,'BD Seq Op'!$C:$H,2,FALSE)),"",VLOOKUP($C$2&amp;"-"&amp;$B20,'BD Seq Op'!$C:$H,2,FALSE)))</f>
        <v/>
      </c>
      <c r="D20" s="105" t="str">
        <f>IF($C$2=0,"",IF(ISERROR(VLOOKUP($C$2&amp;"-"&amp;$B20,'BD Seq Op'!$C:$H,3,FALSE)),"",VLOOKUP($C$2&amp;"-"&amp;$B20,'BD Seq Op'!$C:$H,3,FALSE)))</f>
        <v/>
      </c>
      <c r="E20" s="105" t="str">
        <f>IF($C$2=0,"",IF(ISERROR(VLOOKUP($C$2&amp;"-"&amp;$B20,'BD Seq Op'!$C:$H,4,FALSE)),"",VLOOKUP($C$2&amp;"-"&amp;$B20,'BD Seq Op'!$C:$H,4,FALSE)))</f>
        <v/>
      </c>
      <c r="F20" s="62" t="str">
        <f>IF($C$2=0,"",IF(ISERROR(VLOOKUP($C$2&amp;"-"&amp;$B20,'BD Seq Op'!$C:$H,5,FALSE)),"",VLOOKUP($C$2&amp;"-"&amp;$B20,'BD Seq Op'!$C:$H,5,FALSE)))</f>
        <v/>
      </c>
      <c r="G20" s="112" t="str">
        <f>IF(D20="","",VLOOKUP(D20,Máquinas!A:C,3,FALSE))</f>
        <v/>
      </c>
      <c r="H20" s="113" t="str">
        <f t="shared" si="1"/>
        <v/>
      </c>
      <c r="I20" s="62">
        <f t="shared" si="2"/>
        <v>0</v>
      </c>
      <c r="J20" s="62">
        <f t="shared" si="3"/>
        <v>0</v>
      </c>
      <c r="K20" s="7"/>
      <c r="L20" s="57"/>
      <c r="M20" s="57"/>
      <c r="N20" s="57"/>
      <c r="O20" s="57"/>
      <c r="P20" s="57"/>
      <c r="Q20" s="57"/>
      <c r="S20" s="57"/>
      <c r="T20" s="57"/>
      <c r="U20" s="57"/>
      <c r="V20" s="57"/>
      <c r="W20" s="57"/>
      <c r="X20" s="57"/>
      <c r="Y20" s="57"/>
      <c r="Z20" s="57"/>
      <c r="AA20" s="57"/>
      <c r="AB20" s="57"/>
      <c r="AC20" s="57"/>
    </row>
    <row r="21" spans="1:29" ht="18" customHeight="1" x14ac:dyDescent="0.25">
      <c r="A21" s="32" t="str">
        <f t="shared" si="0"/>
        <v>Não</v>
      </c>
      <c r="B21" s="106">
        <v>16</v>
      </c>
      <c r="C21" s="111" t="str">
        <f>IF($C$2=0,"",IF(ISERROR(VLOOKUP($C$2&amp;"-"&amp;$B21,'BD Seq Op'!$C:$H,2,FALSE)),"",VLOOKUP($C$2&amp;"-"&amp;$B21,'BD Seq Op'!$C:$H,2,FALSE)))</f>
        <v/>
      </c>
      <c r="D21" s="105" t="str">
        <f>IF($C$2=0,"",IF(ISERROR(VLOOKUP($C$2&amp;"-"&amp;$B21,'BD Seq Op'!$C:$H,3,FALSE)),"",VLOOKUP($C$2&amp;"-"&amp;$B21,'BD Seq Op'!$C:$H,3,FALSE)))</f>
        <v/>
      </c>
      <c r="E21" s="105" t="str">
        <f>IF($C$2=0,"",IF(ISERROR(VLOOKUP($C$2&amp;"-"&amp;$B21,'BD Seq Op'!$C:$H,4,FALSE)),"",VLOOKUP($C$2&amp;"-"&amp;$B21,'BD Seq Op'!$C:$H,4,FALSE)))</f>
        <v/>
      </c>
      <c r="F21" s="62" t="str">
        <f>IF($C$2=0,"",IF(ISERROR(VLOOKUP($C$2&amp;"-"&amp;$B21,'BD Seq Op'!$C:$H,5,FALSE)),"",VLOOKUP($C$2&amp;"-"&amp;$B21,'BD Seq Op'!$C:$H,5,FALSE)))</f>
        <v/>
      </c>
      <c r="G21" s="112" t="str">
        <f>IF(D21="","",VLOOKUP(D21,Máquinas!A:C,3,FALSE))</f>
        <v/>
      </c>
      <c r="H21" s="113" t="str">
        <f t="shared" si="1"/>
        <v/>
      </c>
      <c r="I21" s="62">
        <f t="shared" si="2"/>
        <v>0</v>
      </c>
      <c r="J21" s="62">
        <f t="shared" si="3"/>
        <v>0</v>
      </c>
      <c r="K21" s="7"/>
      <c r="L21" s="57"/>
      <c r="M21" s="57"/>
      <c r="N21" s="57"/>
      <c r="O21" s="57"/>
      <c r="P21" s="57"/>
      <c r="Q21" s="57"/>
      <c r="S21" s="57"/>
      <c r="T21" s="57"/>
      <c r="U21" s="57"/>
      <c r="V21" s="57"/>
      <c r="W21" s="57"/>
      <c r="X21" s="57"/>
      <c r="Y21" s="57"/>
      <c r="Z21" s="57"/>
      <c r="AA21" s="57"/>
      <c r="AB21" s="57"/>
      <c r="AC21" s="57"/>
    </row>
    <row r="22" spans="1:29" ht="18" customHeight="1" x14ac:dyDescent="0.25">
      <c r="A22" s="32" t="str">
        <f t="shared" si="0"/>
        <v>Não</v>
      </c>
      <c r="B22" s="105">
        <v>17</v>
      </c>
      <c r="C22" s="111" t="str">
        <f>IF($C$2=0,"",IF(ISERROR(VLOOKUP($C$2&amp;"-"&amp;$B22,'BD Seq Op'!$C:$H,2,FALSE)),"",VLOOKUP($C$2&amp;"-"&amp;$B22,'BD Seq Op'!$C:$H,2,FALSE)))</f>
        <v/>
      </c>
      <c r="D22" s="105" t="str">
        <f>IF($C$2=0,"",IF(ISERROR(VLOOKUP($C$2&amp;"-"&amp;$B22,'BD Seq Op'!$C:$H,3,FALSE)),"",VLOOKUP($C$2&amp;"-"&amp;$B22,'BD Seq Op'!$C:$H,3,FALSE)))</f>
        <v/>
      </c>
      <c r="E22" s="105" t="str">
        <f>IF($C$2=0,"",IF(ISERROR(VLOOKUP($C$2&amp;"-"&amp;$B22,'BD Seq Op'!$C:$H,4,FALSE)),"",VLOOKUP($C$2&amp;"-"&amp;$B22,'BD Seq Op'!$C:$H,4,FALSE)))</f>
        <v/>
      </c>
      <c r="F22" s="62" t="str">
        <f>IF($C$2=0,"",IF(ISERROR(VLOOKUP($C$2&amp;"-"&amp;$B22,'BD Seq Op'!$C:$H,5,FALSE)),"",VLOOKUP($C$2&amp;"-"&amp;$B22,'BD Seq Op'!$C:$H,5,FALSE)))</f>
        <v/>
      </c>
      <c r="G22" s="112" t="str">
        <f>IF(D22="","",VLOOKUP(D22,Máquinas!A:C,3,FALSE))</f>
        <v/>
      </c>
      <c r="H22" s="113" t="str">
        <f t="shared" si="1"/>
        <v/>
      </c>
      <c r="I22" s="62">
        <f t="shared" si="2"/>
        <v>0</v>
      </c>
      <c r="J22" s="62">
        <f t="shared" si="3"/>
        <v>0</v>
      </c>
      <c r="K22" s="7"/>
      <c r="L22" s="57"/>
      <c r="M22" s="57"/>
      <c r="N22" s="57"/>
      <c r="O22" s="57"/>
      <c r="P22" s="57"/>
      <c r="Q22" s="57"/>
      <c r="S22" s="57"/>
      <c r="T22" s="57"/>
      <c r="U22" s="57"/>
      <c r="V22" s="57"/>
      <c r="W22" s="57"/>
      <c r="X22" s="57"/>
      <c r="Y22" s="57"/>
      <c r="Z22" s="57"/>
      <c r="AA22" s="57"/>
      <c r="AB22" s="57"/>
      <c r="AC22" s="57"/>
    </row>
    <row r="23" spans="1:29" ht="18" customHeight="1" x14ac:dyDescent="0.25">
      <c r="A23" s="32" t="str">
        <f t="shared" si="0"/>
        <v>Não</v>
      </c>
      <c r="B23" s="106">
        <v>18</v>
      </c>
      <c r="C23" s="111" t="str">
        <f>IF($C$2=0,"",IF(ISERROR(VLOOKUP($C$2&amp;"-"&amp;$B23,'BD Seq Op'!$C:$H,2,FALSE)),"",VLOOKUP($C$2&amp;"-"&amp;$B23,'BD Seq Op'!$C:$H,2,FALSE)))</f>
        <v/>
      </c>
      <c r="D23" s="105" t="str">
        <f>IF($C$2=0,"",IF(ISERROR(VLOOKUP($C$2&amp;"-"&amp;$B23,'BD Seq Op'!$C:$H,3,FALSE)),"",VLOOKUP($C$2&amp;"-"&amp;$B23,'BD Seq Op'!$C:$H,3,FALSE)))</f>
        <v/>
      </c>
      <c r="E23" s="105" t="str">
        <f>IF($C$2=0,"",IF(ISERROR(VLOOKUP($C$2&amp;"-"&amp;$B23,'BD Seq Op'!$C:$H,4,FALSE)),"",VLOOKUP($C$2&amp;"-"&amp;$B23,'BD Seq Op'!$C:$H,4,FALSE)))</f>
        <v/>
      </c>
      <c r="F23" s="62" t="str">
        <f>IF($C$2=0,"",IF(ISERROR(VLOOKUP($C$2&amp;"-"&amp;$B23,'BD Seq Op'!$C:$H,5,FALSE)),"",VLOOKUP($C$2&amp;"-"&amp;$B23,'BD Seq Op'!$C:$H,5,FALSE)))</f>
        <v/>
      </c>
      <c r="G23" s="112" t="str">
        <f>IF(D23="","",VLOOKUP(D23,Máquinas!A:C,3,FALSE))</f>
        <v/>
      </c>
      <c r="H23" s="113" t="str">
        <f t="shared" si="1"/>
        <v/>
      </c>
      <c r="I23" s="62">
        <f t="shared" si="2"/>
        <v>0</v>
      </c>
      <c r="J23" s="62">
        <f t="shared" si="3"/>
        <v>0</v>
      </c>
      <c r="K23" s="7"/>
      <c r="L23" s="57"/>
      <c r="M23" s="57"/>
      <c r="N23" s="57"/>
      <c r="O23" s="57"/>
      <c r="P23" s="57"/>
      <c r="Q23" s="57"/>
      <c r="S23" s="57"/>
      <c r="T23" s="57"/>
      <c r="U23" s="57"/>
      <c r="V23" s="57"/>
      <c r="W23" s="57"/>
      <c r="X23" s="57"/>
      <c r="Y23" s="57"/>
      <c r="Z23" s="57"/>
      <c r="AA23" s="57"/>
      <c r="AB23" s="57"/>
      <c r="AC23" s="57"/>
    </row>
    <row r="24" spans="1:29" ht="18" customHeight="1" x14ac:dyDescent="0.25">
      <c r="A24" s="32" t="str">
        <f t="shared" si="0"/>
        <v>Não</v>
      </c>
      <c r="B24" s="105">
        <v>19</v>
      </c>
      <c r="C24" s="111" t="str">
        <f>IF($C$2=0,"",IF(ISERROR(VLOOKUP($C$2&amp;"-"&amp;$B24,'BD Seq Op'!$C:$H,2,FALSE)),"",VLOOKUP($C$2&amp;"-"&amp;$B24,'BD Seq Op'!$C:$H,2,FALSE)))</f>
        <v/>
      </c>
      <c r="D24" s="105" t="str">
        <f>IF($C$2=0,"",IF(ISERROR(VLOOKUP($C$2&amp;"-"&amp;$B24,'BD Seq Op'!$C:$H,3,FALSE)),"",VLOOKUP($C$2&amp;"-"&amp;$B24,'BD Seq Op'!$C:$H,3,FALSE)))</f>
        <v/>
      </c>
      <c r="E24" s="105" t="str">
        <f>IF($C$2=0,"",IF(ISERROR(VLOOKUP($C$2&amp;"-"&amp;$B24,'BD Seq Op'!$C:$H,4,FALSE)),"",VLOOKUP($C$2&amp;"-"&amp;$B24,'BD Seq Op'!$C:$H,4,FALSE)))</f>
        <v/>
      </c>
      <c r="F24" s="62" t="str">
        <f>IF($C$2=0,"",IF(ISERROR(VLOOKUP($C$2&amp;"-"&amp;$B24,'BD Seq Op'!$C:$H,5,FALSE)),"",VLOOKUP($C$2&amp;"-"&amp;$B24,'BD Seq Op'!$C:$H,5,FALSE)))</f>
        <v/>
      </c>
      <c r="G24" s="112" t="str">
        <f>IF(D24="","",VLOOKUP(D24,Máquinas!A:C,3,FALSE))</f>
        <v/>
      </c>
      <c r="H24" s="113" t="str">
        <f t="shared" si="1"/>
        <v/>
      </c>
      <c r="I24" s="62">
        <f t="shared" si="2"/>
        <v>0</v>
      </c>
      <c r="J24" s="62">
        <f t="shared" si="3"/>
        <v>0</v>
      </c>
      <c r="K24" s="7"/>
      <c r="L24" s="57"/>
      <c r="M24" s="57"/>
      <c r="N24" s="57"/>
      <c r="O24" s="57"/>
      <c r="P24" s="57"/>
      <c r="Q24" s="57"/>
      <c r="S24" s="57"/>
      <c r="T24" s="57"/>
      <c r="U24" s="57"/>
      <c r="V24" s="57"/>
      <c r="W24" s="57"/>
      <c r="X24" s="57"/>
      <c r="Y24" s="57"/>
      <c r="Z24" s="57"/>
      <c r="AA24" s="57"/>
      <c r="AB24" s="57"/>
      <c r="AC24" s="57"/>
    </row>
    <row r="25" spans="1:29" ht="18" customHeight="1" x14ac:dyDescent="0.25">
      <c r="A25" s="32" t="str">
        <f t="shared" si="0"/>
        <v>Não</v>
      </c>
      <c r="B25" s="106">
        <v>20</v>
      </c>
      <c r="C25" s="111" t="str">
        <f>IF($C$2=0,"",IF(ISERROR(VLOOKUP($C$2&amp;"-"&amp;$B25,'BD Seq Op'!$C:$H,2,FALSE)),"",VLOOKUP($C$2&amp;"-"&amp;$B25,'BD Seq Op'!$C:$H,2,FALSE)))</f>
        <v/>
      </c>
      <c r="D25" s="105" t="str">
        <f>IF($C$2=0,"",IF(ISERROR(VLOOKUP($C$2&amp;"-"&amp;$B25,'BD Seq Op'!$C:$H,3,FALSE)),"",VLOOKUP($C$2&amp;"-"&amp;$B25,'BD Seq Op'!$C:$H,3,FALSE)))</f>
        <v/>
      </c>
      <c r="E25" s="105" t="str">
        <f>IF($C$2=0,"",IF(ISERROR(VLOOKUP($C$2&amp;"-"&amp;$B25,'BD Seq Op'!$C:$H,4,FALSE)),"",VLOOKUP($C$2&amp;"-"&amp;$B25,'BD Seq Op'!$C:$H,4,FALSE)))</f>
        <v/>
      </c>
      <c r="F25" s="62" t="str">
        <f>IF($C$2=0,"",IF(ISERROR(VLOOKUP($C$2&amp;"-"&amp;$B25,'BD Seq Op'!$C:$H,5,FALSE)),"",VLOOKUP($C$2&amp;"-"&amp;$B25,'BD Seq Op'!$C:$H,5,FALSE)))</f>
        <v/>
      </c>
      <c r="G25" s="112" t="str">
        <f>IF(D25="","",VLOOKUP(D25,Máquinas!A:C,3,FALSE))</f>
        <v/>
      </c>
      <c r="H25" s="113" t="str">
        <f t="shared" si="1"/>
        <v/>
      </c>
      <c r="I25" s="62">
        <f t="shared" si="2"/>
        <v>0</v>
      </c>
      <c r="J25" s="62">
        <f t="shared" si="3"/>
        <v>0</v>
      </c>
      <c r="K25" s="7"/>
      <c r="L25" s="57"/>
      <c r="M25" s="57"/>
      <c r="N25" s="57"/>
      <c r="O25" s="57"/>
      <c r="P25" s="57"/>
      <c r="Q25" s="57"/>
      <c r="S25" s="57"/>
      <c r="T25" s="57"/>
      <c r="U25" s="57"/>
      <c r="V25" s="57"/>
      <c r="W25" s="57"/>
      <c r="X25" s="57"/>
      <c r="Y25" s="57"/>
      <c r="Z25" s="57"/>
      <c r="AA25" s="57"/>
      <c r="AB25" s="57"/>
      <c r="AC25" s="57"/>
    </row>
    <row r="26" spans="1:29" ht="18" customHeight="1" x14ac:dyDescent="0.25">
      <c r="A26" s="32" t="str">
        <f t="shared" si="0"/>
        <v>Não</v>
      </c>
      <c r="B26" s="105">
        <v>21</v>
      </c>
      <c r="C26" s="111" t="str">
        <f>IF($C$2=0,"",IF(ISERROR(VLOOKUP($C$2&amp;"-"&amp;$B26,'BD Seq Op'!$C:$H,2,FALSE)),"",VLOOKUP($C$2&amp;"-"&amp;$B26,'BD Seq Op'!$C:$H,2,FALSE)))</f>
        <v/>
      </c>
      <c r="D26" s="105" t="str">
        <f>IF($C$2=0,"",IF(ISERROR(VLOOKUP($C$2&amp;"-"&amp;$B26,'BD Seq Op'!$C:$H,3,FALSE)),"",VLOOKUP($C$2&amp;"-"&amp;$B26,'BD Seq Op'!$C:$H,3,FALSE)))</f>
        <v/>
      </c>
      <c r="E26" s="105" t="str">
        <f>IF($C$2=0,"",IF(ISERROR(VLOOKUP($C$2&amp;"-"&amp;$B26,'BD Seq Op'!$C:$H,4,FALSE)),"",VLOOKUP($C$2&amp;"-"&amp;$B26,'BD Seq Op'!$C:$H,4,FALSE)))</f>
        <v/>
      </c>
      <c r="F26" s="62" t="str">
        <f>IF($C$2=0,"",IF(ISERROR(VLOOKUP($C$2&amp;"-"&amp;$B26,'BD Seq Op'!$C:$H,5,FALSE)),"",VLOOKUP($C$2&amp;"-"&amp;$B26,'BD Seq Op'!$C:$H,5,FALSE)))</f>
        <v/>
      </c>
      <c r="G26" s="112" t="str">
        <f>IF(D26="","",VLOOKUP(D26,Máquinas!A:C,3,FALSE))</f>
        <v/>
      </c>
      <c r="H26" s="113" t="str">
        <f t="shared" si="1"/>
        <v/>
      </c>
      <c r="I26" s="62">
        <f t="shared" si="2"/>
        <v>0</v>
      </c>
      <c r="J26" s="62">
        <f t="shared" si="3"/>
        <v>0</v>
      </c>
      <c r="K26" s="7"/>
      <c r="L26" s="57"/>
      <c r="M26" s="57"/>
      <c r="N26" s="57"/>
      <c r="O26" s="57"/>
      <c r="P26" s="57"/>
      <c r="Q26" s="57"/>
      <c r="S26" s="57"/>
      <c r="T26" s="57"/>
      <c r="U26" s="57"/>
      <c r="V26" s="57"/>
      <c r="W26" s="57"/>
      <c r="X26" s="57"/>
      <c r="Y26" s="57"/>
      <c r="Z26" s="57"/>
      <c r="AA26" s="57"/>
      <c r="AB26" s="57"/>
      <c r="AC26" s="57"/>
    </row>
    <row r="27" spans="1:29" ht="18" customHeight="1" x14ac:dyDescent="0.25">
      <c r="A27" s="32" t="str">
        <f t="shared" si="0"/>
        <v>Não</v>
      </c>
      <c r="B27" s="106">
        <v>22</v>
      </c>
      <c r="C27" s="111" t="str">
        <f>IF($C$2=0,"",IF(ISERROR(VLOOKUP($C$2&amp;"-"&amp;$B27,'BD Seq Op'!$C:$H,2,FALSE)),"",VLOOKUP($C$2&amp;"-"&amp;$B27,'BD Seq Op'!$C:$H,2,FALSE)))</f>
        <v/>
      </c>
      <c r="D27" s="105" t="str">
        <f>IF($C$2=0,"",IF(ISERROR(VLOOKUP($C$2&amp;"-"&amp;$B27,'BD Seq Op'!$C:$H,3,FALSE)),"",VLOOKUP($C$2&amp;"-"&amp;$B27,'BD Seq Op'!$C:$H,3,FALSE)))</f>
        <v/>
      </c>
      <c r="E27" s="105" t="str">
        <f>IF($C$2=0,"",IF(ISERROR(VLOOKUP($C$2&amp;"-"&amp;$B27,'BD Seq Op'!$C:$H,4,FALSE)),"",VLOOKUP($C$2&amp;"-"&amp;$B27,'BD Seq Op'!$C:$H,4,FALSE)))</f>
        <v/>
      </c>
      <c r="F27" s="62" t="str">
        <f>IF($C$2=0,"",IF(ISERROR(VLOOKUP($C$2&amp;"-"&amp;$B27,'BD Seq Op'!$C:$H,5,FALSE)),"",VLOOKUP($C$2&amp;"-"&amp;$B27,'BD Seq Op'!$C:$H,5,FALSE)))</f>
        <v/>
      </c>
      <c r="G27" s="112" t="str">
        <f>IF(D27="","",VLOOKUP(D27,Máquinas!A:C,3,FALSE))</f>
        <v/>
      </c>
      <c r="H27" s="113" t="str">
        <f t="shared" si="1"/>
        <v/>
      </c>
      <c r="I27" s="62">
        <f t="shared" si="2"/>
        <v>0</v>
      </c>
      <c r="J27" s="62">
        <f t="shared" si="3"/>
        <v>0</v>
      </c>
      <c r="K27" s="7"/>
      <c r="L27" s="57"/>
      <c r="M27" s="57"/>
      <c r="N27" s="57"/>
      <c r="O27" s="57"/>
      <c r="P27" s="57"/>
      <c r="Q27" s="57"/>
      <c r="S27" s="57"/>
      <c r="T27" s="57"/>
      <c r="U27" s="57"/>
      <c r="V27" s="57"/>
      <c r="W27" s="57"/>
      <c r="X27" s="57"/>
      <c r="Y27" s="57"/>
      <c r="Z27" s="57"/>
      <c r="AA27" s="57"/>
      <c r="AB27" s="57"/>
      <c r="AC27" s="57"/>
    </row>
    <row r="28" spans="1:29" ht="18" customHeight="1" x14ac:dyDescent="0.25">
      <c r="A28" s="32" t="str">
        <f t="shared" si="0"/>
        <v>Não</v>
      </c>
      <c r="B28" s="105">
        <v>23</v>
      </c>
      <c r="C28" s="111" t="str">
        <f>IF($C$2=0,"",IF(ISERROR(VLOOKUP($C$2&amp;"-"&amp;$B28,'BD Seq Op'!$C:$H,2,FALSE)),"",VLOOKUP($C$2&amp;"-"&amp;$B28,'BD Seq Op'!$C:$H,2,FALSE)))</f>
        <v/>
      </c>
      <c r="D28" s="105" t="str">
        <f>IF($C$2=0,"",IF(ISERROR(VLOOKUP($C$2&amp;"-"&amp;$B28,'BD Seq Op'!$C:$H,3,FALSE)),"",VLOOKUP($C$2&amp;"-"&amp;$B28,'BD Seq Op'!$C:$H,3,FALSE)))</f>
        <v/>
      </c>
      <c r="E28" s="105" t="str">
        <f>IF($C$2=0,"",IF(ISERROR(VLOOKUP($C$2&amp;"-"&amp;$B28,'BD Seq Op'!$C:$H,4,FALSE)),"",VLOOKUP($C$2&amp;"-"&amp;$B28,'BD Seq Op'!$C:$H,4,FALSE)))</f>
        <v/>
      </c>
      <c r="F28" s="62" t="str">
        <f>IF($C$2=0,"",IF(ISERROR(VLOOKUP($C$2&amp;"-"&amp;$B28,'BD Seq Op'!$C:$H,5,FALSE)),"",VLOOKUP($C$2&amp;"-"&amp;$B28,'BD Seq Op'!$C:$H,5,FALSE)))</f>
        <v/>
      </c>
      <c r="G28" s="112" t="str">
        <f>IF(D28="","",VLOOKUP(D28,Máquinas!A:C,3,FALSE))</f>
        <v/>
      </c>
      <c r="H28" s="113" t="str">
        <f t="shared" si="1"/>
        <v/>
      </c>
      <c r="I28" s="62">
        <f t="shared" si="2"/>
        <v>0</v>
      </c>
      <c r="J28" s="62">
        <f t="shared" si="3"/>
        <v>0</v>
      </c>
      <c r="K28" s="7"/>
      <c r="L28" s="57"/>
      <c r="M28" s="57"/>
      <c r="N28" s="57"/>
      <c r="O28" s="57"/>
      <c r="P28" s="57"/>
      <c r="Q28" s="57"/>
      <c r="S28" s="57"/>
      <c r="T28" s="57"/>
      <c r="U28" s="57"/>
      <c r="V28" s="57"/>
      <c r="W28" s="57"/>
      <c r="X28" s="57"/>
      <c r="Y28" s="57"/>
      <c r="Z28" s="57"/>
      <c r="AA28" s="57"/>
      <c r="AB28" s="57"/>
      <c r="AC28" s="57"/>
    </row>
    <row r="29" spans="1:29" ht="18" customHeight="1" x14ac:dyDescent="0.25">
      <c r="A29" s="32" t="str">
        <f t="shared" si="0"/>
        <v>Não</v>
      </c>
      <c r="B29" s="106">
        <v>24</v>
      </c>
      <c r="C29" s="111" t="str">
        <f>IF($C$2=0,"",IF(ISERROR(VLOOKUP($C$2&amp;"-"&amp;$B29,'BD Seq Op'!$C:$H,2,FALSE)),"",VLOOKUP($C$2&amp;"-"&amp;$B29,'BD Seq Op'!$C:$H,2,FALSE)))</f>
        <v/>
      </c>
      <c r="D29" s="105" t="str">
        <f>IF($C$2=0,"",IF(ISERROR(VLOOKUP($C$2&amp;"-"&amp;$B29,'BD Seq Op'!$C:$H,3,FALSE)),"",VLOOKUP($C$2&amp;"-"&amp;$B29,'BD Seq Op'!$C:$H,3,FALSE)))</f>
        <v/>
      </c>
      <c r="E29" s="105" t="str">
        <f>IF($C$2=0,"",IF(ISERROR(VLOOKUP($C$2&amp;"-"&amp;$B29,'BD Seq Op'!$C:$H,4,FALSE)),"",VLOOKUP($C$2&amp;"-"&amp;$B29,'BD Seq Op'!$C:$H,4,FALSE)))</f>
        <v/>
      </c>
      <c r="F29" s="62" t="str">
        <f>IF($C$2=0,"",IF(ISERROR(VLOOKUP($C$2&amp;"-"&amp;$B29,'BD Seq Op'!$C:$H,5,FALSE)),"",VLOOKUP($C$2&amp;"-"&amp;$B29,'BD Seq Op'!$C:$H,5,FALSE)))</f>
        <v/>
      </c>
      <c r="G29" s="112" t="str">
        <f>IF(D29="","",VLOOKUP(D29,Máquinas!A:C,3,FALSE))</f>
        <v/>
      </c>
      <c r="H29" s="113" t="str">
        <f t="shared" si="1"/>
        <v/>
      </c>
      <c r="I29" s="62">
        <f t="shared" si="2"/>
        <v>0</v>
      </c>
      <c r="J29" s="62">
        <f t="shared" si="3"/>
        <v>0</v>
      </c>
      <c r="K29" s="7"/>
      <c r="L29" s="57"/>
      <c r="M29" s="57"/>
      <c r="N29" s="57"/>
      <c r="O29" s="57"/>
      <c r="P29" s="57"/>
      <c r="Q29" s="57"/>
      <c r="S29" s="57"/>
      <c r="T29" s="57"/>
      <c r="U29" s="57"/>
      <c r="V29" s="57"/>
      <c r="W29" s="57"/>
      <c r="X29" s="57"/>
      <c r="Y29" s="57"/>
      <c r="Z29" s="57"/>
      <c r="AA29" s="57"/>
      <c r="AB29" s="57"/>
      <c r="AC29" s="57"/>
    </row>
    <row r="30" spans="1:29" ht="18" customHeight="1" x14ac:dyDescent="0.25">
      <c r="A30" s="32" t="str">
        <f t="shared" si="0"/>
        <v>Não</v>
      </c>
      <c r="B30" s="105">
        <v>25</v>
      </c>
      <c r="C30" s="111" t="str">
        <f>IF($C$2=0,"",IF(ISERROR(VLOOKUP($C$2&amp;"-"&amp;$B30,'BD Seq Op'!$C:$H,2,FALSE)),"",VLOOKUP($C$2&amp;"-"&amp;$B30,'BD Seq Op'!$C:$H,2,FALSE)))</f>
        <v/>
      </c>
      <c r="D30" s="105" t="str">
        <f>IF($C$2=0,"",IF(ISERROR(VLOOKUP($C$2&amp;"-"&amp;$B30,'BD Seq Op'!$C:$H,3,FALSE)),"",VLOOKUP($C$2&amp;"-"&amp;$B30,'BD Seq Op'!$C:$H,3,FALSE)))</f>
        <v/>
      </c>
      <c r="E30" s="105" t="str">
        <f>IF($C$2=0,"",IF(ISERROR(VLOOKUP($C$2&amp;"-"&amp;$B30,'BD Seq Op'!$C:$H,4,FALSE)),"",VLOOKUP($C$2&amp;"-"&amp;$B30,'BD Seq Op'!$C:$H,4,FALSE)))</f>
        <v/>
      </c>
      <c r="F30" s="62" t="str">
        <f>IF($C$2=0,"",IF(ISERROR(VLOOKUP($C$2&amp;"-"&amp;$B30,'BD Seq Op'!$C:$H,5,FALSE)),"",VLOOKUP($C$2&amp;"-"&amp;$B30,'BD Seq Op'!$C:$H,5,FALSE)))</f>
        <v/>
      </c>
      <c r="G30" s="112" t="str">
        <f>IF(D30="","",VLOOKUP(D30,Máquinas!A:C,3,FALSE))</f>
        <v/>
      </c>
      <c r="H30" s="113" t="str">
        <f t="shared" si="1"/>
        <v/>
      </c>
      <c r="I30" s="62">
        <f t="shared" si="2"/>
        <v>0</v>
      </c>
      <c r="J30" s="62">
        <f t="shared" si="3"/>
        <v>0</v>
      </c>
      <c r="K30" s="7"/>
      <c r="L30" s="57"/>
      <c r="M30" s="57"/>
      <c r="N30" s="57"/>
      <c r="O30" s="57"/>
      <c r="P30" s="57"/>
      <c r="Q30" s="57"/>
      <c r="S30" s="57"/>
      <c r="T30" s="57"/>
      <c r="U30" s="57"/>
      <c r="V30" s="57"/>
      <c r="W30" s="57"/>
      <c r="X30" s="57"/>
      <c r="Y30" s="57"/>
      <c r="Z30" s="57"/>
      <c r="AA30" s="57"/>
      <c r="AB30" s="57"/>
      <c r="AC30" s="57"/>
    </row>
    <row r="31" spans="1:29" ht="18" customHeight="1" x14ac:dyDescent="0.25">
      <c r="A31" s="32" t="str">
        <f t="shared" si="0"/>
        <v>Não</v>
      </c>
      <c r="B31" s="106">
        <v>26</v>
      </c>
      <c r="C31" s="111" t="str">
        <f>IF($C$2=0,"",IF(ISERROR(VLOOKUP($C$2&amp;"-"&amp;$B31,'BD Seq Op'!$C:$H,2,FALSE)),"",VLOOKUP($C$2&amp;"-"&amp;$B31,'BD Seq Op'!$C:$H,2,FALSE)))</f>
        <v/>
      </c>
      <c r="D31" s="105" t="str">
        <f>IF($C$2=0,"",IF(ISERROR(VLOOKUP($C$2&amp;"-"&amp;$B31,'BD Seq Op'!$C:$H,3,FALSE)),"",VLOOKUP($C$2&amp;"-"&amp;$B31,'BD Seq Op'!$C:$H,3,FALSE)))</f>
        <v/>
      </c>
      <c r="E31" s="105" t="str">
        <f>IF($C$2=0,"",IF(ISERROR(VLOOKUP($C$2&amp;"-"&amp;$B31,'BD Seq Op'!$C:$H,4,FALSE)),"",VLOOKUP($C$2&amp;"-"&amp;$B31,'BD Seq Op'!$C:$H,4,FALSE)))</f>
        <v/>
      </c>
      <c r="F31" s="62" t="str">
        <f>IF($C$2=0,"",IF(ISERROR(VLOOKUP($C$2&amp;"-"&amp;$B31,'BD Seq Op'!$C:$H,5,FALSE)),"",VLOOKUP($C$2&amp;"-"&amp;$B31,'BD Seq Op'!$C:$H,5,FALSE)))</f>
        <v/>
      </c>
      <c r="G31" s="112" t="str">
        <f>IF(D31="","",VLOOKUP(D31,Máquinas!A:C,3,FALSE))</f>
        <v/>
      </c>
      <c r="H31" s="113" t="str">
        <f t="shared" si="1"/>
        <v/>
      </c>
      <c r="I31" s="62">
        <f t="shared" si="2"/>
        <v>0</v>
      </c>
      <c r="J31" s="62">
        <f t="shared" si="3"/>
        <v>0</v>
      </c>
      <c r="K31" s="7"/>
      <c r="L31" s="57"/>
      <c r="M31" s="57"/>
      <c r="N31" s="57"/>
      <c r="O31" s="57"/>
      <c r="P31" s="57"/>
      <c r="Q31" s="57"/>
      <c r="S31" s="57"/>
      <c r="T31" s="57"/>
      <c r="U31" s="57"/>
      <c r="V31" s="57"/>
      <c r="W31" s="57"/>
      <c r="X31" s="57"/>
      <c r="Y31" s="57"/>
      <c r="Z31" s="57"/>
      <c r="AA31" s="57"/>
      <c r="AB31" s="57"/>
      <c r="AC31" s="57"/>
    </row>
    <row r="32" spans="1:29" ht="18" customHeight="1" x14ac:dyDescent="0.25">
      <c r="A32" s="32" t="str">
        <f t="shared" si="0"/>
        <v>Não</v>
      </c>
      <c r="B32" s="105">
        <v>27</v>
      </c>
      <c r="C32" s="111" t="str">
        <f>IF($C$2=0,"",IF(ISERROR(VLOOKUP($C$2&amp;"-"&amp;$B32,'BD Seq Op'!$C:$H,2,FALSE)),"",VLOOKUP($C$2&amp;"-"&amp;$B32,'BD Seq Op'!$C:$H,2,FALSE)))</f>
        <v/>
      </c>
      <c r="D32" s="105" t="str">
        <f>IF($C$2=0,"",IF(ISERROR(VLOOKUP($C$2&amp;"-"&amp;$B32,'BD Seq Op'!$C:$H,3,FALSE)),"",VLOOKUP($C$2&amp;"-"&amp;$B32,'BD Seq Op'!$C:$H,3,FALSE)))</f>
        <v/>
      </c>
      <c r="E32" s="105" t="str">
        <f>IF($C$2=0,"",IF(ISERROR(VLOOKUP($C$2&amp;"-"&amp;$B32,'BD Seq Op'!$C:$H,4,FALSE)),"",VLOOKUP($C$2&amp;"-"&amp;$B32,'BD Seq Op'!$C:$H,4,FALSE)))</f>
        <v/>
      </c>
      <c r="F32" s="62" t="str">
        <f>IF($C$2=0,"",IF(ISERROR(VLOOKUP($C$2&amp;"-"&amp;$B32,'BD Seq Op'!$C:$H,5,FALSE)),"",VLOOKUP($C$2&amp;"-"&amp;$B32,'BD Seq Op'!$C:$H,5,FALSE)))</f>
        <v/>
      </c>
      <c r="G32" s="112" t="str">
        <f>IF(D32="","",VLOOKUP(D32,Máquinas!A:C,3,FALSE))</f>
        <v/>
      </c>
      <c r="H32" s="113" t="str">
        <f t="shared" si="1"/>
        <v/>
      </c>
      <c r="I32" s="62">
        <f t="shared" si="2"/>
        <v>0</v>
      </c>
      <c r="J32" s="62">
        <f t="shared" si="3"/>
        <v>0</v>
      </c>
      <c r="K32" s="7"/>
      <c r="L32" s="57"/>
      <c r="M32" s="57"/>
      <c r="N32" s="57"/>
      <c r="O32" s="57"/>
      <c r="P32" s="57"/>
      <c r="Q32" s="57"/>
      <c r="S32" s="57"/>
      <c r="T32" s="57"/>
      <c r="U32" s="57"/>
      <c r="V32" s="57"/>
      <c r="W32" s="57"/>
      <c r="X32" s="57"/>
      <c r="Y32" s="57"/>
      <c r="Z32" s="57"/>
      <c r="AA32" s="57"/>
      <c r="AB32" s="57"/>
      <c r="AC32" s="57"/>
    </row>
    <row r="33" spans="1:29" ht="18" customHeight="1" x14ac:dyDescent="0.25">
      <c r="A33" s="32" t="str">
        <f t="shared" si="0"/>
        <v>Não</v>
      </c>
      <c r="B33" s="106">
        <v>28</v>
      </c>
      <c r="C33" s="111" t="str">
        <f>IF($C$2=0,"",IF(ISERROR(VLOOKUP($C$2&amp;"-"&amp;$B33,'BD Seq Op'!$C:$H,2,FALSE)),"",VLOOKUP($C$2&amp;"-"&amp;$B33,'BD Seq Op'!$C:$H,2,FALSE)))</f>
        <v/>
      </c>
      <c r="D33" s="105" t="str">
        <f>IF($C$2=0,"",IF(ISERROR(VLOOKUP($C$2&amp;"-"&amp;$B33,'BD Seq Op'!$C:$H,3,FALSE)),"",VLOOKUP($C$2&amp;"-"&amp;$B33,'BD Seq Op'!$C:$H,3,FALSE)))</f>
        <v/>
      </c>
      <c r="E33" s="105" t="str">
        <f>IF($C$2=0,"",IF(ISERROR(VLOOKUP($C$2&amp;"-"&amp;$B33,'BD Seq Op'!$C:$H,4,FALSE)),"",VLOOKUP($C$2&amp;"-"&amp;$B33,'BD Seq Op'!$C:$H,4,FALSE)))</f>
        <v/>
      </c>
      <c r="F33" s="62" t="str">
        <f>IF($C$2=0,"",IF(ISERROR(VLOOKUP($C$2&amp;"-"&amp;$B33,'BD Seq Op'!$C:$H,5,FALSE)),"",VLOOKUP($C$2&amp;"-"&amp;$B33,'BD Seq Op'!$C:$H,5,FALSE)))</f>
        <v/>
      </c>
      <c r="G33" s="112" t="str">
        <f>IF(D33="","",VLOOKUP(D33,Máquinas!A:C,3,FALSE))</f>
        <v/>
      </c>
      <c r="H33" s="113" t="str">
        <f t="shared" si="1"/>
        <v/>
      </c>
      <c r="I33" s="62">
        <f t="shared" si="2"/>
        <v>0</v>
      </c>
      <c r="J33" s="62">
        <f t="shared" si="3"/>
        <v>0</v>
      </c>
      <c r="K33" s="7"/>
      <c r="L33" s="57"/>
      <c r="M33" s="57"/>
      <c r="N33" s="57"/>
      <c r="O33" s="57"/>
      <c r="P33" s="57"/>
      <c r="Q33" s="57"/>
      <c r="S33" s="57"/>
      <c r="T33" s="57"/>
      <c r="U33" s="57"/>
      <c r="V33" s="57"/>
      <c r="W33" s="57"/>
      <c r="X33" s="57"/>
      <c r="Y33" s="57"/>
      <c r="Z33" s="57"/>
      <c r="AA33" s="57"/>
      <c r="AB33" s="57"/>
      <c r="AC33" s="57"/>
    </row>
    <row r="34" spans="1:29" ht="18" customHeight="1" x14ac:dyDescent="0.25">
      <c r="A34" s="32" t="str">
        <f t="shared" si="0"/>
        <v>Não</v>
      </c>
      <c r="B34" s="105">
        <v>29</v>
      </c>
      <c r="C34" s="111" t="str">
        <f>IF($C$2=0,"",IF(ISERROR(VLOOKUP($C$2&amp;"-"&amp;$B34,'BD Seq Op'!$C:$H,2,FALSE)),"",VLOOKUP($C$2&amp;"-"&amp;$B34,'BD Seq Op'!$C:$H,2,FALSE)))</f>
        <v/>
      </c>
      <c r="D34" s="105" t="str">
        <f>IF($C$2=0,"",IF(ISERROR(VLOOKUP($C$2&amp;"-"&amp;$B34,'BD Seq Op'!$C:$H,3,FALSE)),"",VLOOKUP($C$2&amp;"-"&amp;$B34,'BD Seq Op'!$C:$H,3,FALSE)))</f>
        <v/>
      </c>
      <c r="E34" s="105" t="str">
        <f>IF($C$2=0,"",IF(ISERROR(VLOOKUP($C$2&amp;"-"&amp;$B34,'BD Seq Op'!$C:$H,4,FALSE)),"",VLOOKUP($C$2&amp;"-"&amp;$B34,'BD Seq Op'!$C:$H,4,FALSE)))</f>
        <v/>
      </c>
      <c r="F34" s="62" t="str">
        <f>IF($C$2=0,"",IF(ISERROR(VLOOKUP($C$2&amp;"-"&amp;$B34,'BD Seq Op'!$C:$H,5,FALSE)),"",VLOOKUP($C$2&amp;"-"&amp;$B34,'BD Seq Op'!$C:$H,5,FALSE)))</f>
        <v/>
      </c>
      <c r="G34" s="112" t="str">
        <f>IF(D34="","",VLOOKUP(D34,Máquinas!A:C,3,FALSE))</f>
        <v/>
      </c>
      <c r="H34" s="113" t="str">
        <f t="shared" si="1"/>
        <v/>
      </c>
      <c r="I34" s="62">
        <f t="shared" si="2"/>
        <v>0</v>
      </c>
      <c r="J34" s="62">
        <f t="shared" si="3"/>
        <v>0</v>
      </c>
      <c r="K34" s="7"/>
      <c r="L34" s="57"/>
      <c r="M34" s="57"/>
      <c r="N34" s="57"/>
      <c r="O34" s="57"/>
      <c r="P34" s="57"/>
      <c r="Q34" s="57"/>
      <c r="S34" s="57"/>
      <c r="T34" s="57"/>
      <c r="U34" s="57"/>
      <c r="V34" s="57"/>
      <c r="W34" s="57"/>
      <c r="X34" s="57"/>
      <c r="Y34" s="57"/>
      <c r="Z34" s="57"/>
      <c r="AA34" s="57"/>
      <c r="AB34" s="57"/>
      <c r="AC34" s="57"/>
    </row>
    <row r="35" spans="1:29" ht="18" customHeight="1" x14ac:dyDescent="0.25">
      <c r="A35" s="32" t="str">
        <f t="shared" si="0"/>
        <v>Não</v>
      </c>
      <c r="B35" s="106">
        <v>30</v>
      </c>
      <c r="C35" s="111" t="str">
        <f>IF($C$2=0,"",IF(ISERROR(VLOOKUP($C$2&amp;"-"&amp;$B35,'BD Seq Op'!$C:$H,2,FALSE)),"",VLOOKUP($C$2&amp;"-"&amp;$B35,'BD Seq Op'!$C:$H,2,FALSE)))</f>
        <v/>
      </c>
      <c r="D35" s="105" t="str">
        <f>IF($C$2=0,"",IF(ISERROR(VLOOKUP($C$2&amp;"-"&amp;$B35,'BD Seq Op'!$C:$H,3,FALSE)),"",VLOOKUP($C$2&amp;"-"&amp;$B35,'BD Seq Op'!$C:$H,3,FALSE)))</f>
        <v/>
      </c>
      <c r="E35" s="105" t="str">
        <f>IF($C$2=0,"",IF(ISERROR(VLOOKUP($C$2&amp;"-"&amp;$B35,'BD Seq Op'!$C:$H,4,FALSE)),"",VLOOKUP($C$2&amp;"-"&amp;$B35,'BD Seq Op'!$C:$H,4,FALSE)))</f>
        <v/>
      </c>
      <c r="F35" s="62" t="str">
        <f>IF($C$2=0,"",IF(ISERROR(VLOOKUP($C$2&amp;"-"&amp;$B35,'BD Seq Op'!$C:$H,5,FALSE)),"",VLOOKUP($C$2&amp;"-"&amp;$B35,'BD Seq Op'!$C:$H,5,FALSE)))</f>
        <v/>
      </c>
      <c r="G35" s="112" t="str">
        <f>IF(D35="","",VLOOKUP(D35,Máquinas!A:C,3,FALSE))</f>
        <v/>
      </c>
      <c r="H35" s="113" t="str">
        <f t="shared" si="1"/>
        <v/>
      </c>
      <c r="I35" s="62">
        <f t="shared" si="2"/>
        <v>0</v>
      </c>
      <c r="J35" s="62">
        <f t="shared" si="3"/>
        <v>0</v>
      </c>
      <c r="K35" s="7"/>
      <c r="L35" s="57"/>
      <c r="M35" s="57"/>
      <c r="N35" s="57"/>
      <c r="O35" s="57"/>
      <c r="P35" s="57"/>
      <c r="Q35" s="57"/>
      <c r="S35" s="57"/>
      <c r="T35" s="57"/>
      <c r="U35" s="57"/>
      <c r="V35" s="57"/>
      <c r="W35" s="57"/>
      <c r="X35" s="57"/>
      <c r="Y35" s="57"/>
      <c r="Z35" s="57"/>
      <c r="AA35" s="57"/>
      <c r="AB35" s="57"/>
      <c r="AC35" s="57"/>
    </row>
    <row r="36" spans="1:29" ht="18" customHeight="1" x14ac:dyDescent="0.25">
      <c r="A36" s="32" t="str">
        <f t="shared" si="0"/>
        <v>Não</v>
      </c>
      <c r="B36" s="105">
        <v>31</v>
      </c>
      <c r="C36" s="111" t="str">
        <f>IF($C$2=0,"",IF(ISERROR(VLOOKUP($C$2&amp;"-"&amp;$B36,'BD Seq Op'!$C:$H,2,FALSE)),"",VLOOKUP($C$2&amp;"-"&amp;$B36,'BD Seq Op'!$C:$H,2,FALSE)))</f>
        <v/>
      </c>
      <c r="D36" s="105" t="str">
        <f>IF($C$2=0,"",IF(ISERROR(VLOOKUP($C$2&amp;"-"&amp;$B36,'BD Seq Op'!$C:$H,3,FALSE)),"",VLOOKUP($C$2&amp;"-"&amp;$B36,'BD Seq Op'!$C:$H,3,FALSE)))</f>
        <v/>
      </c>
      <c r="E36" s="105" t="str">
        <f>IF($C$2=0,"",IF(ISERROR(VLOOKUP($C$2&amp;"-"&amp;$B36,'BD Seq Op'!$C:$H,4,FALSE)),"",VLOOKUP($C$2&amp;"-"&amp;$B36,'BD Seq Op'!$C:$H,4,FALSE)))</f>
        <v/>
      </c>
      <c r="F36" s="62" t="str">
        <f>IF($C$2=0,"",IF(ISERROR(VLOOKUP($C$2&amp;"-"&amp;$B36,'BD Seq Op'!$C:$H,5,FALSE)),"",VLOOKUP($C$2&amp;"-"&amp;$B36,'BD Seq Op'!$C:$H,5,FALSE)))</f>
        <v/>
      </c>
      <c r="G36" s="112" t="str">
        <f>IF(D36="","",VLOOKUP(D36,Máquinas!A:C,3,FALSE))</f>
        <v/>
      </c>
      <c r="H36" s="113" t="str">
        <f t="shared" si="1"/>
        <v/>
      </c>
      <c r="I36" s="62">
        <f t="shared" si="2"/>
        <v>0</v>
      </c>
      <c r="J36" s="62">
        <f t="shared" si="3"/>
        <v>0</v>
      </c>
      <c r="K36" s="7"/>
      <c r="L36" s="57"/>
      <c r="M36" s="57"/>
      <c r="N36" s="57"/>
      <c r="O36" s="57"/>
      <c r="P36" s="57"/>
      <c r="Q36" s="57"/>
      <c r="S36" s="57"/>
      <c r="T36" s="57"/>
      <c r="U36" s="57"/>
      <c r="V36" s="57"/>
      <c r="W36" s="57"/>
      <c r="X36" s="57"/>
      <c r="Y36" s="57"/>
      <c r="Z36" s="57"/>
      <c r="AA36" s="57"/>
      <c r="AB36" s="57"/>
      <c r="AC36" s="57"/>
    </row>
    <row r="37" spans="1:29" ht="18" customHeight="1" x14ac:dyDescent="0.25">
      <c r="A37" s="32" t="str">
        <f t="shared" si="0"/>
        <v>Não</v>
      </c>
      <c r="B37" s="106">
        <v>32</v>
      </c>
      <c r="C37" s="111" t="str">
        <f>IF($C$2=0,"",IF(ISERROR(VLOOKUP($C$2&amp;"-"&amp;$B37,'BD Seq Op'!$C:$H,2,FALSE)),"",VLOOKUP($C$2&amp;"-"&amp;$B37,'BD Seq Op'!$C:$H,2,FALSE)))</f>
        <v/>
      </c>
      <c r="D37" s="105" t="str">
        <f>IF($C$2=0,"",IF(ISERROR(VLOOKUP($C$2&amp;"-"&amp;$B37,'BD Seq Op'!$C:$H,3,FALSE)),"",VLOOKUP($C$2&amp;"-"&amp;$B37,'BD Seq Op'!$C:$H,3,FALSE)))</f>
        <v/>
      </c>
      <c r="E37" s="105" t="str">
        <f>IF($C$2=0,"",IF(ISERROR(VLOOKUP($C$2&amp;"-"&amp;$B37,'BD Seq Op'!$C:$H,4,FALSE)),"",VLOOKUP($C$2&amp;"-"&amp;$B37,'BD Seq Op'!$C:$H,4,FALSE)))</f>
        <v/>
      </c>
      <c r="F37" s="62" t="str">
        <f>IF($C$2=0,"",IF(ISERROR(VLOOKUP($C$2&amp;"-"&amp;$B37,'BD Seq Op'!$C:$H,5,FALSE)),"",VLOOKUP($C$2&amp;"-"&amp;$B37,'BD Seq Op'!$C:$H,5,FALSE)))</f>
        <v/>
      </c>
      <c r="G37" s="112" t="str">
        <f>IF(D37="","",VLOOKUP(D37,Máquinas!A:C,3,FALSE))</f>
        <v/>
      </c>
      <c r="H37" s="113" t="str">
        <f t="shared" si="1"/>
        <v/>
      </c>
      <c r="I37" s="62">
        <f t="shared" si="2"/>
        <v>0</v>
      </c>
      <c r="J37" s="62">
        <f t="shared" si="3"/>
        <v>0</v>
      </c>
      <c r="K37" s="7"/>
      <c r="L37" s="57"/>
      <c r="M37" s="57"/>
      <c r="N37" s="57"/>
      <c r="O37" s="57"/>
      <c r="P37" s="57"/>
      <c r="Q37" s="57"/>
      <c r="S37" s="57"/>
      <c r="T37" s="57"/>
      <c r="U37" s="57"/>
      <c r="V37" s="57"/>
      <c r="W37" s="57"/>
      <c r="X37" s="57"/>
      <c r="Y37" s="57"/>
      <c r="Z37" s="57"/>
      <c r="AA37" s="57"/>
      <c r="AB37" s="57"/>
      <c r="AC37" s="57"/>
    </row>
    <row r="38" spans="1:29" ht="18" customHeight="1" x14ac:dyDescent="0.25">
      <c r="A38" s="32" t="str">
        <f t="shared" si="0"/>
        <v>Não</v>
      </c>
      <c r="B38" s="105">
        <v>33</v>
      </c>
      <c r="C38" s="111" t="str">
        <f>IF($C$2=0,"",IF(ISERROR(VLOOKUP($C$2&amp;"-"&amp;$B38,'BD Seq Op'!$C:$H,2,FALSE)),"",VLOOKUP($C$2&amp;"-"&amp;$B38,'BD Seq Op'!$C:$H,2,FALSE)))</f>
        <v/>
      </c>
      <c r="D38" s="105" t="str">
        <f>IF($C$2=0,"",IF(ISERROR(VLOOKUP($C$2&amp;"-"&amp;$B38,'BD Seq Op'!$C:$H,3,FALSE)),"",VLOOKUP($C$2&amp;"-"&amp;$B38,'BD Seq Op'!$C:$H,3,FALSE)))</f>
        <v/>
      </c>
      <c r="E38" s="105" t="str">
        <f>IF($C$2=0,"",IF(ISERROR(VLOOKUP($C$2&amp;"-"&amp;$B38,'BD Seq Op'!$C:$H,4,FALSE)),"",VLOOKUP($C$2&amp;"-"&amp;$B38,'BD Seq Op'!$C:$H,4,FALSE)))</f>
        <v/>
      </c>
      <c r="F38" s="62" t="str">
        <f>IF($C$2=0,"",IF(ISERROR(VLOOKUP($C$2&amp;"-"&amp;$B38,'BD Seq Op'!$C:$H,5,FALSE)),"",VLOOKUP($C$2&amp;"-"&amp;$B38,'BD Seq Op'!$C:$H,5,FALSE)))</f>
        <v/>
      </c>
      <c r="G38" s="112" t="str">
        <f>IF(D38="","",VLOOKUP(D38,Máquinas!A:C,3,FALSE))</f>
        <v/>
      </c>
      <c r="H38" s="113" t="str">
        <f t="shared" si="1"/>
        <v/>
      </c>
      <c r="I38" s="62">
        <f t="shared" si="2"/>
        <v>0</v>
      </c>
      <c r="J38" s="62">
        <f t="shared" si="3"/>
        <v>0</v>
      </c>
      <c r="K38" s="7"/>
      <c r="L38" s="57"/>
      <c r="M38" s="57"/>
      <c r="N38" s="57"/>
      <c r="O38" s="57"/>
      <c r="P38" s="57"/>
      <c r="Q38" s="57"/>
      <c r="S38" s="57"/>
      <c r="T38" s="57"/>
      <c r="U38" s="57"/>
      <c r="V38" s="57"/>
      <c r="W38" s="57"/>
      <c r="X38" s="57"/>
      <c r="Y38" s="57"/>
      <c r="Z38" s="57"/>
      <c r="AA38" s="57"/>
      <c r="AB38" s="57"/>
      <c r="AC38" s="57"/>
    </row>
    <row r="39" spans="1:29" ht="18" customHeight="1" x14ac:dyDescent="0.25">
      <c r="A39" s="32" t="str">
        <f t="shared" si="0"/>
        <v>Não</v>
      </c>
      <c r="B39" s="106">
        <v>34</v>
      </c>
      <c r="C39" s="111" t="str">
        <f>IF($C$2=0,"",IF(ISERROR(VLOOKUP($C$2&amp;"-"&amp;$B39,'BD Seq Op'!$C:$H,2,FALSE)),"",VLOOKUP($C$2&amp;"-"&amp;$B39,'BD Seq Op'!$C:$H,2,FALSE)))</f>
        <v/>
      </c>
      <c r="D39" s="105" t="str">
        <f>IF($C$2=0,"",IF(ISERROR(VLOOKUP($C$2&amp;"-"&amp;$B39,'BD Seq Op'!$C:$H,3,FALSE)),"",VLOOKUP($C$2&amp;"-"&amp;$B39,'BD Seq Op'!$C:$H,3,FALSE)))</f>
        <v/>
      </c>
      <c r="E39" s="105" t="str">
        <f>IF($C$2=0,"",IF(ISERROR(VLOOKUP($C$2&amp;"-"&amp;$B39,'BD Seq Op'!$C:$H,4,FALSE)),"",VLOOKUP($C$2&amp;"-"&amp;$B39,'BD Seq Op'!$C:$H,4,FALSE)))</f>
        <v/>
      </c>
      <c r="F39" s="62" t="str">
        <f>IF($C$2=0,"",IF(ISERROR(VLOOKUP($C$2&amp;"-"&amp;$B39,'BD Seq Op'!$C:$H,5,FALSE)),"",VLOOKUP($C$2&amp;"-"&amp;$B39,'BD Seq Op'!$C:$H,5,FALSE)))</f>
        <v/>
      </c>
      <c r="G39" s="112" t="str">
        <f>IF(D39="","",VLOOKUP(D39,Máquinas!A:C,3,FALSE))</f>
        <v/>
      </c>
      <c r="H39" s="113" t="str">
        <f t="shared" si="1"/>
        <v/>
      </c>
      <c r="I39" s="62">
        <f t="shared" si="2"/>
        <v>0</v>
      </c>
      <c r="J39" s="62">
        <f t="shared" si="3"/>
        <v>0</v>
      </c>
      <c r="K39" s="7"/>
      <c r="L39" s="57"/>
      <c r="M39" s="57"/>
      <c r="N39" s="57"/>
      <c r="O39" s="57"/>
      <c r="P39" s="57"/>
      <c r="Q39" s="57"/>
      <c r="S39" s="57"/>
      <c r="T39" s="57"/>
      <c r="U39" s="57"/>
      <c r="V39" s="57"/>
      <c r="W39" s="57"/>
      <c r="X39" s="57"/>
      <c r="Y39" s="57"/>
      <c r="Z39" s="57"/>
      <c r="AA39" s="57"/>
      <c r="AB39" s="57"/>
      <c r="AC39" s="57"/>
    </row>
    <row r="40" spans="1:29" ht="18" customHeight="1" x14ac:dyDescent="0.25">
      <c r="A40" s="32" t="str">
        <f t="shared" si="0"/>
        <v>Não</v>
      </c>
      <c r="B40" s="105">
        <v>35</v>
      </c>
      <c r="C40" s="111" t="str">
        <f>IF($C$2=0,"",IF(ISERROR(VLOOKUP($C$2&amp;"-"&amp;$B40,'BD Seq Op'!$C:$H,2,FALSE)),"",VLOOKUP($C$2&amp;"-"&amp;$B40,'BD Seq Op'!$C:$H,2,FALSE)))</f>
        <v/>
      </c>
      <c r="D40" s="105" t="str">
        <f>IF($C$2=0,"",IF(ISERROR(VLOOKUP($C$2&amp;"-"&amp;$B40,'BD Seq Op'!$C:$H,3,FALSE)),"",VLOOKUP($C$2&amp;"-"&amp;$B40,'BD Seq Op'!$C:$H,3,FALSE)))</f>
        <v/>
      </c>
      <c r="E40" s="105" t="str">
        <f>IF($C$2=0,"",IF(ISERROR(VLOOKUP($C$2&amp;"-"&amp;$B40,'BD Seq Op'!$C:$H,4,FALSE)),"",VLOOKUP($C$2&amp;"-"&amp;$B40,'BD Seq Op'!$C:$H,4,FALSE)))</f>
        <v/>
      </c>
      <c r="F40" s="62" t="str">
        <f>IF($C$2=0,"",IF(ISERROR(VLOOKUP($C$2&amp;"-"&amp;$B40,'BD Seq Op'!$C:$H,5,FALSE)),"",VLOOKUP($C$2&amp;"-"&amp;$B40,'BD Seq Op'!$C:$H,5,FALSE)))</f>
        <v/>
      </c>
      <c r="G40" s="112" t="str">
        <f>IF(D40="","",VLOOKUP(D40,Máquinas!A:C,3,FALSE))</f>
        <v/>
      </c>
      <c r="H40" s="113" t="str">
        <f t="shared" si="1"/>
        <v/>
      </c>
      <c r="I40" s="62">
        <f t="shared" si="2"/>
        <v>0</v>
      </c>
      <c r="J40" s="62">
        <f t="shared" si="3"/>
        <v>0</v>
      </c>
      <c r="K40" s="7"/>
      <c r="L40" s="57"/>
      <c r="M40" s="57"/>
      <c r="N40" s="57"/>
      <c r="O40" s="57"/>
      <c r="P40" s="57"/>
      <c r="Q40" s="57"/>
      <c r="S40" s="57"/>
      <c r="T40" s="57"/>
      <c r="U40" s="57"/>
      <c r="V40" s="57"/>
      <c r="W40" s="57"/>
      <c r="X40" s="57"/>
      <c r="Y40" s="57"/>
      <c r="Z40" s="57"/>
      <c r="AA40" s="57"/>
      <c r="AB40" s="57"/>
      <c r="AC40" s="57"/>
    </row>
    <row r="41" spans="1:29" ht="18" customHeight="1" x14ac:dyDescent="0.25">
      <c r="A41" s="32" t="str">
        <f t="shared" si="0"/>
        <v>Não</v>
      </c>
      <c r="B41" s="106">
        <v>36</v>
      </c>
      <c r="C41" s="111" t="str">
        <f>IF($C$2=0,"",IF(ISERROR(VLOOKUP($C$2&amp;"-"&amp;$B41,'BD Seq Op'!$C:$H,2,FALSE)),"",VLOOKUP($C$2&amp;"-"&amp;$B41,'BD Seq Op'!$C:$H,2,FALSE)))</f>
        <v/>
      </c>
      <c r="D41" s="105" t="str">
        <f>IF($C$2=0,"",IF(ISERROR(VLOOKUP($C$2&amp;"-"&amp;$B41,'BD Seq Op'!$C:$H,3,FALSE)),"",VLOOKUP($C$2&amp;"-"&amp;$B41,'BD Seq Op'!$C:$H,3,FALSE)))</f>
        <v/>
      </c>
      <c r="E41" s="105" t="str">
        <f>IF($C$2=0,"",IF(ISERROR(VLOOKUP($C$2&amp;"-"&amp;$B41,'BD Seq Op'!$C:$H,4,FALSE)),"",VLOOKUP($C$2&amp;"-"&amp;$B41,'BD Seq Op'!$C:$H,4,FALSE)))</f>
        <v/>
      </c>
      <c r="F41" s="62" t="str">
        <f>IF($C$2=0,"",IF(ISERROR(VLOOKUP($C$2&amp;"-"&amp;$B41,'BD Seq Op'!$C:$H,5,FALSE)),"",VLOOKUP($C$2&amp;"-"&amp;$B41,'BD Seq Op'!$C:$H,5,FALSE)))</f>
        <v/>
      </c>
      <c r="G41" s="112" t="str">
        <f>IF(D41="","",VLOOKUP(D41,Máquinas!A:C,3,FALSE))</f>
        <v/>
      </c>
      <c r="H41" s="113" t="str">
        <f t="shared" si="1"/>
        <v/>
      </c>
      <c r="I41" s="62">
        <f t="shared" si="2"/>
        <v>0</v>
      </c>
      <c r="J41" s="62">
        <f t="shared" si="3"/>
        <v>0</v>
      </c>
      <c r="K41" s="7"/>
      <c r="L41" s="57"/>
      <c r="M41" s="57"/>
      <c r="N41" s="57"/>
      <c r="O41" s="57"/>
      <c r="P41" s="57"/>
      <c r="Q41" s="57"/>
      <c r="S41" s="57"/>
      <c r="T41" s="57"/>
      <c r="U41" s="57"/>
      <c r="V41" s="57"/>
      <c r="W41" s="57"/>
      <c r="X41" s="57"/>
      <c r="Y41" s="57"/>
      <c r="Z41" s="57"/>
      <c r="AA41" s="57"/>
      <c r="AB41" s="57"/>
      <c r="AC41" s="57"/>
    </row>
    <row r="42" spans="1:29" ht="18" customHeight="1" x14ac:dyDescent="0.25">
      <c r="A42" s="32" t="str">
        <f t="shared" si="0"/>
        <v>Não</v>
      </c>
      <c r="B42" s="105">
        <v>37</v>
      </c>
      <c r="C42" s="111" t="str">
        <f>IF($C$2=0,"",IF(ISERROR(VLOOKUP($C$2&amp;"-"&amp;$B42,'BD Seq Op'!$C:$H,2,FALSE)),"",VLOOKUP($C$2&amp;"-"&amp;$B42,'BD Seq Op'!$C:$H,2,FALSE)))</f>
        <v/>
      </c>
      <c r="D42" s="105" t="str">
        <f>IF($C$2=0,"",IF(ISERROR(VLOOKUP($C$2&amp;"-"&amp;$B42,'BD Seq Op'!$C:$H,3,FALSE)),"",VLOOKUP($C$2&amp;"-"&amp;$B42,'BD Seq Op'!$C:$H,3,FALSE)))</f>
        <v/>
      </c>
      <c r="E42" s="105" t="str">
        <f>IF($C$2=0,"",IF(ISERROR(VLOOKUP($C$2&amp;"-"&amp;$B42,'BD Seq Op'!$C:$H,4,FALSE)),"",VLOOKUP($C$2&amp;"-"&amp;$B42,'BD Seq Op'!$C:$H,4,FALSE)))</f>
        <v/>
      </c>
      <c r="F42" s="62" t="str">
        <f>IF($C$2=0,"",IF(ISERROR(VLOOKUP($C$2&amp;"-"&amp;$B42,'BD Seq Op'!$C:$H,5,FALSE)),"",VLOOKUP($C$2&amp;"-"&amp;$B42,'BD Seq Op'!$C:$H,5,FALSE)))</f>
        <v/>
      </c>
      <c r="G42" s="112" t="str">
        <f>IF(D42="","",VLOOKUP(D42,Máquinas!A:C,3,FALSE))</f>
        <v/>
      </c>
      <c r="H42" s="113" t="str">
        <f t="shared" si="1"/>
        <v/>
      </c>
      <c r="I42" s="62">
        <f t="shared" si="2"/>
        <v>0</v>
      </c>
      <c r="J42" s="62">
        <f t="shared" si="3"/>
        <v>0</v>
      </c>
      <c r="K42" s="7"/>
      <c r="L42" s="57"/>
      <c r="M42" s="57"/>
      <c r="N42" s="57"/>
      <c r="O42" s="57"/>
      <c r="P42" s="57"/>
      <c r="Q42" s="57"/>
      <c r="S42" s="57"/>
      <c r="T42" s="57"/>
      <c r="U42" s="57"/>
      <c r="V42" s="57"/>
      <c r="W42" s="57"/>
      <c r="X42" s="57"/>
      <c r="Y42" s="57"/>
      <c r="Z42" s="57"/>
      <c r="AA42" s="57"/>
      <c r="AB42" s="57"/>
      <c r="AC42" s="57"/>
    </row>
    <row r="43" spans="1:29" ht="18" customHeight="1" x14ac:dyDescent="0.25">
      <c r="A43" s="32" t="str">
        <f t="shared" si="0"/>
        <v>Não</v>
      </c>
      <c r="B43" s="106">
        <v>38</v>
      </c>
      <c r="C43" s="111" t="str">
        <f>IF($C$2=0,"",IF(ISERROR(VLOOKUP($C$2&amp;"-"&amp;$B43,'BD Seq Op'!$C:$H,2,FALSE)),"",VLOOKUP($C$2&amp;"-"&amp;$B43,'BD Seq Op'!$C:$H,2,FALSE)))</f>
        <v/>
      </c>
      <c r="D43" s="105" t="str">
        <f>IF($C$2=0,"",IF(ISERROR(VLOOKUP($C$2&amp;"-"&amp;$B43,'BD Seq Op'!$C:$H,3,FALSE)),"",VLOOKUP($C$2&amp;"-"&amp;$B43,'BD Seq Op'!$C:$H,3,FALSE)))</f>
        <v/>
      </c>
      <c r="E43" s="105" t="str">
        <f>IF($C$2=0,"",IF(ISERROR(VLOOKUP($C$2&amp;"-"&amp;$B43,'BD Seq Op'!$C:$H,4,FALSE)),"",VLOOKUP($C$2&amp;"-"&amp;$B43,'BD Seq Op'!$C:$H,4,FALSE)))</f>
        <v/>
      </c>
      <c r="F43" s="62" t="str">
        <f>IF($C$2=0,"",IF(ISERROR(VLOOKUP($C$2&amp;"-"&amp;$B43,'BD Seq Op'!$C:$H,5,FALSE)),"",VLOOKUP($C$2&amp;"-"&amp;$B43,'BD Seq Op'!$C:$H,5,FALSE)))</f>
        <v/>
      </c>
      <c r="G43" s="112" t="str">
        <f>IF(D43="","",VLOOKUP(D43,Máquinas!A:C,3,FALSE))</f>
        <v/>
      </c>
      <c r="H43" s="113" t="str">
        <f t="shared" si="1"/>
        <v/>
      </c>
      <c r="I43" s="62">
        <f t="shared" si="2"/>
        <v>0</v>
      </c>
      <c r="J43" s="62">
        <f t="shared" si="3"/>
        <v>0</v>
      </c>
      <c r="K43" s="7"/>
      <c r="L43" s="57"/>
      <c r="M43" s="57"/>
      <c r="N43" s="57"/>
      <c r="O43" s="57"/>
      <c r="P43" s="57"/>
      <c r="Q43" s="57"/>
      <c r="S43" s="57"/>
      <c r="T43" s="57"/>
      <c r="U43" s="57"/>
      <c r="V43" s="57"/>
      <c r="W43" s="57"/>
      <c r="X43" s="57"/>
      <c r="Y43" s="57"/>
      <c r="Z43" s="57"/>
      <c r="AA43" s="57"/>
      <c r="AB43" s="57"/>
      <c r="AC43" s="57"/>
    </row>
    <row r="44" spans="1:29" ht="18" customHeight="1" x14ac:dyDescent="0.25">
      <c r="A44" s="32" t="str">
        <f t="shared" si="0"/>
        <v>Não</v>
      </c>
      <c r="B44" s="105">
        <v>39</v>
      </c>
      <c r="C44" s="111" t="str">
        <f>IF($C$2=0,"",IF(ISERROR(VLOOKUP($C$2&amp;"-"&amp;$B44,'BD Seq Op'!$C:$H,2,FALSE)),"",VLOOKUP($C$2&amp;"-"&amp;$B44,'BD Seq Op'!$C:$H,2,FALSE)))</f>
        <v/>
      </c>
      <c r="D44" s="105" t="str">
        <f>IF($C$2=0,"",IF(ISERROR(VLOOKUP($C$2&amp;"-"&amp;$B44,'BD Seq Op'!$C:$H,3,FALSE)),"",VLOOKUP($C$2&amp;"-"&amp;$B44,'BD Seq Op'!$C:$H,3,FALSE)))</f>
        <v/>
      </c>
      <c r="E44" s="105" t="str">
        <f>IF($C$2=0,"",IF(ISERROR(VLOOKUP($C$2&amp;"-"&amp;$B44,'BD Seq Op'!$C:$H,4,FALSE)),"",VLOOKUP($C$2&amp;"-"&amp;$B44,'BD Seq Op'!$C:$H,4,FALSE)))</f>
        <v/>
      </c>
      <c r="F44" s="62" t="str">
        <f>IF($C$2=0,"",IF(ISERROR(VLOOKUP($C$2&amp;"-"&amp;$B44,'BD Seq Op'!$C:$H,5,FALSE)),"",VLOOKUP($C$2&amp;"-"&amp;$B44,'BD Seq Op'!$C:$H,5,FALSE)))</f>
        <v/>
      </c>
      <c r="G44" s="112" t="str">
        <f>IF(D44="","",VLOOKUP(D44,Máquinas!A:C,3,FALSE))</f>
        <v/>
      </c>
      <c r="H44" s="113" t="str">
        <f t="shared" si="1"/>
        <v/>
      </c>
      <c r="I44" s="62">
        <f t="shared" si="2"/>
        <v>0</v>
      </c>
      <c r="J44" s="62">
        <f t="shared" si="3"/>
        <v>0</v>
      </c>
      <c r="K44" s="7"/>
      <c r="L44" s="57"/>
      <c r="M44" s="57"/>
      <c r="N44" s="57"/>
      <c r="O44" s="57"/>
      <c r="P44" s="57"/>
      <c r="Q44" s="57"/>
      <c r="S44" s="57"/>
      <c r="T44" s="57"/>
      <c r="U44" s="57"/>
      <c r="V44" s="57"/>
      <c r="W44" s="57"/>
      <c r="X44" s="57"/>
      <c r="Y44" s="57"/>
      <c r="Z44" s="57"/>
      <c r="AA44" s="57"/>
      <c r="AB44" s="57"/>
      <c r="AC44" s="57"/>
    </row>
    <row r="45" spans="1:29" ht="18" customHeight="1" x14ac:dyDescent="0.25">
      <c r="A45" s="32" t="str">
        <f t="shared" si="0"/>
        <v>Não</v>
      </c>
      <c r="B45" s="106">
        <v>40</v>
      </c>
      <c r="C45" s="111" t="str">
        <f>IF($C$2=0,"",IF(ISERROR(VLOOKUP($C$2&amp;"-"&amp;$B45,'BD Seq Op'!$C:$H,2,FALSE)),"",VLOOKUP($C$2&amp;"-"&amp;$B45,'BD Seq Op'!$C:$H,2,FALSE)))</f>
        <v/>
      </c>
      <c r="D45" s="105" t="str">
        <f>IF($C$2=0,"",IF(ISERROR(VLOOKUP($C$2&amp;"-"&amp;$B45,'BD Seq Op'!$C:$H,3,FALSE)),"",VLOOKUP($C$2&amp;"-"&amp;$B45,'BD Seq Op'!$C:$H,3,FALSE)))</f>
        <v/>
      </c>
      <c r="E45" s="105" t="str">
        <f>IF($C$2=0,"",IF(ISERROR(VLOOKUP($C$2&amp;"-"&amp;$B45,'BD Seq Op'!$C:$H,4,FALSE)),"",VLOOKUP($C$2&amp;"-"&amp;$B45,'BD Seq Op'!$C:$H,4,FALSE)))</f>
        <v/>
      </c>
      <c r="F45" s="62" t="str">
        <f>IF($C$2=0,"",IF(ISERROR(VLOOKUP($C$2&amp;"-"&amp;$B45,'BD Seq Op'!$C:$H,5,FALSE)),"",VLOOKUP($C$2&amp;"-"&amp;$B45,'BD Seq Op'!$C:$H,5,FALSE)))</f>
        <v/>
      </c>
      <c r="G45" s="112" t="str">
        <f>IF(D45="","",VLOOKUP(D45,Máquinas!A:C,3,FALSE))</f>
        <v/>
      </c>
      <c r="H45" s="113" t="str">
        <f t="shared" si="1"/>
        <v/>
      </c>
      <c r="I45" s="62">
        <f t="shared" si="2"/>
        <v>0</v>
      </c>
      <c r="J45" s="62">
        <f t="shared" si="3"/>
        <v>0</v>
      </c>
      <c r="K45" s="7"/>
      <c r="L45" s="57"/>
      <c r="M45" s="57"/>
      <c r="N45" s="57"/>
      <c r="O45" s="57"/>
      <c r="P45" s="57"/>
      <c r="Q45" s="57"/>
      <c r="S45" s="57"/>
      <c r="T45" s="57"/>
      <c r="U45" s="57"/>
      <c r="V45" s="57"/>
      <c r="W45" s="57"/>
      <c r="X45" s="57"/>
      <c r="Y45" s="57"/>
      <c r="Z45" s="57"/>
      <c r="AA45" s="57"/>
      <c r="AB45" s="57"/>
      <c r="AC45" s="57"/>
    </row>
    <row r="46" spans="1:29" ht="18" customHeight="1" x14ac:dyDescent="0.25">
      <c r="A46" s="32" t="str">
        <f t="shared" si="0"/>
        <v>Não</v>
      </c>
      <c r="B46" s="105">
        <v>41</v>
      </c>
      <c r="C46" s="111" t="str">
        <f>IF($C$2=0,"",IF(ISERROR(VLOOKUP($C$2&amp;"-"&amp;$B46,'BD Seq Op'!$C:$H,2,FALSE)),"",VLOOKUP($C$2&amp;"-"&amp;$B46,'BD Seq Op'!$C:$H,2,FALSE)))</f>
        <v/>
      </c>
      <c r="D46" s="105" t="str">
        <f>IF($C$2=0,"",IF(ISERROR(VLOOKUP($C$2&amp;"-"&amp;$B46,'BD Seq Op'!$C:$H,3,FALSE)),"",VLOOKUP($C$2&amp;"-"&amp;$B46,'BD Seq Op'!$C:$H,3,FALSE)))</f>
        <v/>
      </c>
      <c r="E46" s="105" t="str">
        <f>IF($C$2=0,"",IF(ISERROR(VLOOKUP($C$2&amp;"-"&amp;$B46,'BD Seq Op'!$C:$H,4,FALSE)),"",VLOOKUP($C$2&amp;"-"&amp;$B46,'BD Seq Op'!$C:$H,4,FALSE)))</f>
        <v/>
      </c>
      <c r="F46" s="62" t="str">
        <f>IF($C$2=0,"",IF(ISERROR(VLOOKUP($C$2&amp;"-"&amp;$B46,'BD Seq Op'!$C:$H,5,FALSE)),"",VLOOKUP($C$2&amp;"-"&amp;$B46,'BD Seq Op'!$C:$H,5,FALSE)))</f>
        <v/>
      </c>
      <c r="G46" s="112" t="str">
        <f>IF(D46="","",VLOOKUP(D46,Máquinas!A:C,3,FALSE))</f>
        <v/>
      </c>
      <c r="H46" s="113" t="str">
        <f t="shared" si="1"/>
        <v/>
      </c>
      <c r="I46" s="62">
        <f t="shared" si="2"/>
        <v>0</v>
      </c>
      <c r="J46" s="62">
        <f t="shared" si="3"/>
        <v>0</v>
      </c>
      <c r="K46" s="7"/>
      <c r="L46" s="57"/>
      <c r="M46" s="57"/>
      <c r="N46" s="57"/>
      <c r="O46" s="57"/>
      <c r="P46" s="57"/>
      <c r="Q46" s="57"/>
      <c r="S46" s="57"/>
      <c r="T46" s="57"/>
      <c r="U46" s="57"/>
      <c r="V46" s="57"/>
      <c r="W46" s="57"/>
      <c r="X46" s="57"/>
      <c r="Y46" s="57"/>
      <c r="Z46" s="57"/>
      <c r="AA46" s="57"/>
      <c r="AB46" s="57"/>
      <c r="AC46" s="57"/>
    </row>
    <row r="47" spans="1:29" ht="18" customHeight="1" x14ac:dyDescent="0.25">
      <c r="A47" s="32" t="str">
        <f t="shared" si="0"/>
        <v>Não</v>
      </c>
      <c r="B47" s="106">
        <v>42</v>
      </c>
      <c r="C47" s="111" t="str">
        <f>IF($C$2=0,"",IF(ISERROR(VLOOKUP($C$2&amp;"-"&amp;$B47,'BD Seq Op'!$C:$H,2,FALSE)),"",VLOOKUP($C$2&amp;"-"&amp;$B47,'BD Seq Op'!$C:$H,2,FALSE)))</f>
        <v/>
      </c>
      <c r="D47" s="105" t="str">
        <f>IF($C$2=0,"",IF(ISERROR(VLOOKUP($C$2&amp;"-"&amp;$B47,'BD Seq Op'!$C:$H,3,FALSE)),"",VLOOKUP($C$2&amp;"-"&amp;$B47,'BD Seq Op'!$C:$H,3,FALSE)))</f>
        <v/>
      </c>
      <c r="E47" s="105" t="str">
        <f>IF($C$2=0,"",IF(ISERROR(VLOOKUP($C$2&amp;"-"&amp;$B47,'BD Seq Op'!$C:$H,4,FALSE)),"",VLOOKUP($C$2&amp;"-"&amp;$B47,'BD Seq Op'!$C:$H,4,FALSE)))</f>
        <v/>
      </c>
      <c r="F47" s="62" t="str">
        <f>IF($C$2=0,"",IF(ISERROR(VLOOKUP($C$2&amp;"-"&amp;$B47,'BD Seq Op'!$C:$H,5,FALSE)),"",VLOOKUP($C$2&amp;"-"&amp;$B47,'BD Seq Op'!$C:$H,5,FALSE)))</f>
        <v/>
      </c>
      <c r="G47" s="112" t="str">
        <f>IF(D47="","",VLOOKUP(D47,Máquinas!A:C,3,FALSE))</f>
        <v/>
      </c>
      <c r="H47" s="113" t="str">
        <f t="shared" si="1"/>
        <v/>
      </c>
      <c r="I47" s="62">
        <f t="shared" si="2"/>
        <v>0</v>
      </c>
      <c r="J47" s="62">
        <f t="shared" si="3"/>
        <v>0</v>
      </c>
      <c r="K47" s="7"/>
      <c r="L47" s="57"/>
      <c r="M47" s="57"/>
      <c r="N47" s="57"/>
      <c r="O47" s="57"/>
      <c r="P47" s="57"/>
      <c r="Q47" s="57"/>
      <c r="S47" s="57"/>
      <c r="T47" s="57"/>
      <c r="U47" s="57"/>
      <c r="V47" s="57"/>
      <c r="W47" s="57"/>
      <c r="X47" s="57"/>
      <c r="Y47" s="57"/>
      <c r="Z47" s="57"/>
      <c r="AA47" s="57"/>
      <c r="AB47" s="57"/>
      <c r="AC47" s="57"/>
    </row>
    <row r="48" spans="1:29" ht="18" customHeight="1" x14ac:dyDescent="0.25">
      <c r="A48" s="32" t="str">
        <f t="shared" si="0"/>
        <v>Não</v>
      </c>
      <c r="B48" s="105">
        <v>43</v>
      </c>
      <c r="C48" s="111" t="str">
        <f>IF($C$2=0,"",IF(ISERROR(VLOOKUP($C$2&amp;"-"&amp;$B48,'BD Seq Op'!$C:$H,2,FALSE)),"",VLOOKUP($C$2&amp;"-"&amp;$B48,'BD Seq Op'!$C:$H,2,FALSE)))</f>
        <v/>
      </c>
      <c r="D48" s="105" t="str">
        <f>IF($C$2=0,"",IF(ISERROR(VLOOKUP($C$2&amp;"-"&amp;$B48,'BD Seq Op'!$C:$H,3,FALSE)),"",VLOOKUP($C$2&amp;"-"&amp;$B48,'BD Seq Op'!$C:$H,3,FALSE)))</f>
        <v/>
      </c>
      <c r="E48" s="105" t="str">
        <f>IF($C$2=0,"",IF(ISERROR(VLOOKUP($C$2&amp;"-"&amp;$B48,'BD Seq Op'!$C:$H,4,FALSE)),"",VLOOKUP($C$2&amp;"-"&amp;$B48,'BD Seq Op'!$C:$H,4,FALSE)))</f>
        <v/>
      </c>
      <c r="F48" s="62" t="str">
        <f>IF($C$2=0,"",IF(ISERROR(VLOOKUP($C$2&amp;"-"&amp;$B48,'BD Seq Op'!$C:$H,5,FALSE)),"",VLOOKUP($C$2&amp;"-"&amp;$B48,'BD Seq Op'!$C:$H,5,FALSE)))</f>
        <v/>
      </c>
      <c r="G48" s="112" t="str">
        <f>IF(D48="","",VLOOKUP(D48,Máquinas!A:C,3,FALSE))</f>
        <v/>
      </c>
      <c r="H48" s="113" t="str">
        <f t="shared" si="1"/>
        <v/>
      </c>
      <c r="I48" s="62">
        <f t="shared" si="2"/>
        <v>0</v>
      </c>
      <c r="J48" s="62">
        <f t="shared" si="3"/>
        <v>0</v>
      </c>
      <c r="K48" s="7"/>
      <c r="L48" s="57"/>
      <c r="M48" s="57"/>
      <c r="N48" s="57"/>
      <c r="O48" s="57"/>
      <c r="P48" s="57"/>
      <c r="Q48" s="57"/>
      <c r="S48" s="57"/>
      <c r="T48" s="57"/>
      <c r="U48" s="57"/>
      <c r="V48" s="57"/>
      <c r="W48" s="57"/>
      <c r="X48" s="57"/>
      <c r="Y48" s="57"/>
      <c r="Z48" s="57"/>
      <c r="AA48" s="57"/>
      <c r="AB48" s="57"/>
      <c r="AC48" s="57"/>
    </row>
    <row r="49" spans="1:29" ht="18" customHeight="1" x14ac:dyDescent="0.25">
      <c r="A49" s="32" t="str">
        <f t="shared" si="0"/>
        <v>Não</v>
      </c>
      <c r="B49" s="106">
        <v>44</v>
      </c>
      <c r="C49" s="111" t="str">
        <f>IF($C$2=0,"",IF(ISERROR(VLOOKUP($C$2&amp;"-"&amp;$B49,'BD Seq Op'!$C:$H,2,FALSE)),"",VLOOKUP($C$2&amp;"-"&amp;$B49,'BD Seq Op'!$C:$H,2,FALSE)))</f>
        <v/>
      </c>
      <c r="D49" s="105" t="str">
        <f>IF($C$2=0,"",IF(ISERROR(VLOOKUP($C$2&amp;"-"&amp;$B49,'BD Seq Op'!$C:$H,3,FALSE)),"",VLOOKUP($C$2&amp;"-"&amp;$B49,'BD Seq Op'!$C:$H,3,FALSE)))</f>
        <v/>
      </c>
      <c r="E49" s="105" t="str">
        <f>IF($C$2=0,"",IF(ISERROR(VLOOKUP($C$2&amp;"-"&amp;$B49,'BD Seq Op'!$C:$H,4,FALSE)),"",VLOOKUP($C$2&amp;"-"&amp;$B49,'BD Seq Op'!$C:$H,4,FALSE)))</f>
        <v/>
      </c>
      <c r="F49" s="62" t="str">
        <f>IF($C$2=0,"",IF(ISERROR(VLOOKUP($C$2&amp;"-"&amp;$B49,'BD Seq Op'!$C:$H,5,FALSE)),"",VLOOKUP($C$2&amp;"-"&amp;$B49,'BD Seq Op'!$C:$H,5,FALSE)))</f>
        <v/>
      </c>
      <c r="G49" s="112" t="str">
        <f>IF(D49="","",VLOOKUP(D49,Máquinas!A:C,3,FALSE))</f>
        <v/>
      </c>
      <c r="H49" s="113" t="str">
        <f t="shared" si="1"/>
        <v/>
      </c>
      <c r="I49" s="62">
        <f t="shared" si="2"/>
        <v>0</v>
      </c>
      <c r="J49" s="62">
        <f t="shared" si="3"/>
        <v>0</v>
      </c>
      <c r="K49" s="7"/>
      <c r="L49" s="57"/>
      <c r="M49" s="57"/>
      <c r="N49" s="57"/>
      <c r="O49" s="57"/>
      <c r="P49" s="57"/>
      <c r="Q49" s="57"/>
      <c r="S49" s="57"/>
      <c r="T49" s="57"/>
      <c r="U49" s="57"/>
      <c r="V49" s="57"/>
      <c r="W49" s="57"/>
      <c r="X49" s="57"/>
      <c r="Y49" s="57"/>
      <c r="Z49" s="57"/>
      <c r="AA49" s="57"/>
      <c r="AB49" s="57"/>
      <c r="AC49" s="57"/>
    </row>
    <row r="50" spans="1:29" ht="18" customHeight="1" x14ac:dyDescent="0.25">
      <c r="A50" s="32" t="str">
        <f t="shared" si="0"/>
        <v>Não</v>
      </c>
      <c r="B50" s="105">
        <v>45</v>
      </c>
      <c r="C50" s="111" t="str">
        <f>IF($C$2=0,"",IF(ISERROR(VLOOKUP($C$2&amp;"-"&amp;$B50,'BD Seq Op'!$C:$H,2,FALSE)),"",VLOOKUP($C$2&amp;"-"&amp;$B50,'BD Seq Op'!$C:$H,2,FALSE)))</f>
        <v/>
      </c>
      <c r="D50" s="105" t="str">
        <f>IF($C$2=0,"",IF(ISERROR(VLOOKUP($C$2&amp;"-"&amp;$B50,'BD Seq Op'!$C:$H,3,FALSE)),"",VLOOKUP($C$2&amp;"-"&amp;$B50,'BD Seq Op'!$C:$H,3,FALSE)))</f>
        <v/>
      </c>
      <c r="E50" s="105" t="str">
        <f>IF($C$2=0,"",IF(ISERROR(VLOOKUP($C$2&amp;"-"&amp;$B50,'BD Seq Op'!$C:$H,4,FALSE)),"",VLOOKUP($C$2&amp;"-"&amp;$B50,'BD Seq Op'!$C:$H,4,FALSE)))</f>
        <v/>
      </c>
      <c r="F50" s="62" t="str">
        <f>IF($C$2=0,"",IF(ISERROR(VLOOKUP($C$2&amp;"-"&amp;$B50,'BD Seq Op'!$C:$H,5,FALSE)),"",VLOOKUP($C$2&amp;"-"&amp;$B50,'BD Seq Op'!$C:$H,5,FALSE)))</f>
        <v/>
      </c>
      <c r="G50" s="112" t="str">
        <f>IF(D50="","",VLOOKUP(D50,Máquinas!A:C,3,FALSE))</f>
        <v/>
      </c>
      <c r="H50" s="113" t="str">
        <f t="shared" si="1"/>
        <v/>
      </c>
      <c r="I50" s="62">
        <f t="shared" si="2"/>
        <v>0</v>
      </c>
      <c r="J50" s="62">
        <f t="shared" si="3"/>
        <v>0</v>
      </c>
      <c r="K50" s="7"/>
      <c r="L50" s="57"/>
      <c r="M50" s="57"/>
      <c r="N50" s="57"/>
      <c r="O50" s="57"/>
      <c r="P50" s="57"/>
      <c r="Q50" s="57"/>
      <c r="S50" s="57"/>
      <c r="T50" s="57"/>
      <c r="U50" s="57"/>
      <c r="V50" s="57"/>
      <c r="W50" s="57"/>
      <c r="X50" s="57"/>
      <c r="Y50" s="57"/>
      <c r="Z50" s="57"/>
      <c r="AA50" s="57"/>
      <c r="AB50" s="57"/>
      <c r="AC50" s="57"/>
    </row>
    <row r="51" spans="1:29" ht="18" customHeight="1" x14ac:dyDescent="0.25">
      <c r="A51" s="32" t="str">
        <f t="shared" si="0"/>
        <v>Não</v>
      </c>
      <c r="B51" s="106">
        <v>46</v>
      </c>
      <c r="C51" s="111" t="str">
        <f>IF($C$2=0,"",IF(ISERROR(VLOOKUP($C$2&amp;"-"&amp;$B51,'BD Seq Op'!$C:$H,2,FALSE)),"",VLOOKUP($C$2&amp;"-"&amp;$B51,'BD Seq Op'!$C:$H,2,FALSE)))</f>
        <v/>
      </c>
      <c r="D51" s="105" t="str">
        <f>IF($C$2=0,"",IF(ISERROR(VLOOKUP($C$2&amp;"-"&amp;$B51,'BD Seq Op'!$C:$H,3,FALSE)),"",VLOOKUP($C$2&amp;"-"&amp;$B51,'BD Seq Op'!$C:$H,3,FALSE)))</f>
        <v/>
      </c>
      <c r="E51" s="105" t="str">
        <f>IF($C$2=0,"",IF(ISERROR(VLOOKUP($C$2&amp;"-"&amp;$B51,'BD Seq Op'!$C:$H,4,FALSE)),"",VLOOKUP($C$2&amp;"-"&amp;$B51,'BD Seq Op'!$C:$H,4,FALSE)))</f>
        <v/>
      </c>
      <c r="F51" s="62" t="str">
        <f>IF($C$2=0,"",IF(ISERROR(VLOOKUP($C$2&amp;"-"&amp;$B51,'BD Seq Op'!$C:$H,5,FALSE)),"",VLOOKUP($C$2&amp;"-"&amp;$B51,'BD Seq Op'!$C:$H,5,FALSE)))</f>
        <v/>
      </c>
      <c r="G51" s="112" t="str">
        <f>IF(D51="","",VLOOKUP(D51,Máquinas!A:C,3,FALSE))</f>
        <v/>
      </c>
      <c r="H51" s="113" t="str">
        <f t="shared" si="1"/>
        <v/>
      </c>
      <c r="I51" s="62">
        <f t="shared" si="2"/>
        <v>0</v>
      </c>
      <c r="J51" s="62">
        <f t="shared" si="3"/>
        <v>0</v>
      </c>
      <c r="K51" s="7"/>
      <c r="L51" s="57"/>
      <c r="M51" s="57"/>
      <c r="N51" s="57"/>
      <c r="O51" s="57"/>
      <c r="P51" s="57"/>
      <c r="Q51" s="57"/>
      <c r="S51" s="57"/>
      <c r="T51" s="57"/>
      <c r="U51" s="57"/>
      <c r="V51" s="57"/>
      <c r="W51" s="57"/>
      <c r="X51" s="57"/>
      <c r="Y51" s="57"/>
      <c r="Z51" s="57"/>
      <c r="AA51" s="57"/>
      <c r="AB51" s="57"/>
      <c r="AC51" s="57"/>
    </row>
    <row r="52" spans="1:29" ht="18" customHeight="1" x14ac:dyDescent="0.25">
      <c r="A52" s="32" t="str">
        <f t="shared" si="0"/>
        <v>Não</v>
      </c>
      <c r="B52" s="105">
        <v>47</v>
      </c>
      <c r="C52" s="111" t="str">
        <f>IF($C$2=0,"",IF(ISERROR(VLOOKUP($C$2&amp;"-"&amp;$B52,'BD Seq Op'!$C:$H,2,FALSE)),"",VLOOKUP($C$2&amp;"-"&amp;$B52,'BD Seq Op'!$C:$H,2,FALSE)))</f>
        <v/>
      </c>
      <c r="D52" s="105" t="str">
        <f>IF($C$2=0,"",IF(ISERROR(VLOOKUP($C$2&amp;"-"&amp;$B52,'BD Seq Op'!$C:$H,3,FALSE)),"",VLOOKUP($C$2&amp;"-"&amp;$B52,'BD Seq Op'!$C:$H,3,FALSE)))</f>
        <v/>
      </c>
      <c r="E52" s="105" t="str">
        <f>IF($C$2=0,"",IF(ISERROR(VLOOKUP($C$2&amp;"-"&amp;$B52,'BD Seq Op'!$C:$H,4,FALSE)),"",VLOOKUP($C$2&amp;"-"&amp;$B52,'BD Seq Op'!$C:$H,4,FALSE)))</f>
        <v/>
      </c>
      <c r="F52" s="62" t="str">
        <f>IF($C$2=0,"",IF(ISERROR(VLOOKUP($C$2&amp;"-"&amp;$B52,'BD Seq Op'!$C:$H,5,FALSE)),"",VLOOKUP($C$2&amp;"-"&amp;$B52,'BD Seq Op'!$C:$H,5,FALSE)))</f>
        <v/>
      </c>
      <c r="G52" s="112" t="str">
        <f>IF(D52="","",VLOOKUP(D52,Máquinas!A:C,3,FALSE))</f>
        <v/>
      </c>
      <c r="H52" s="113" t="str">
        <f t="shared" si="1"/>
        <v/>
      </c>
      <c r="I52" s="62">
        <f t="shared" si="2"/>
        <v>0</v>
      </c>
      <c r="J52" s="62">
        <f t="shared" si="3"/>
        <v>0</v>
      </c>
      <c r="K52" s="7"/>
      <c r="L52" s="57"/>
      <c r="M52" s="57"/>
      <c r="N52" s="57"/>
      <c r="O52" s="57"/>
      <c r="P52" s="57"/>
      <c r="Q52" s="57"/>
      <c r="S52" s="57"/>
      <c r="T52" s="57"/>
      <c r="U52" s="57"/>
      <c r="V52" s="57"/>
      <c r="W52" s="57"/>
      <c r="X52" s="57"/>
      <c r="Y52" s="57"/>
      <c r="Z52" s="57"/>
      <c r="AA52" s="57"/>
      <c r="AB52" s="57"/>
      <c r="AC52" s="57"/>
    </row>
    <row r="53" spans="1:29" ht="18" customHeight="1" x14ac:dyDescent="0.25">
      <c r="A53" s="32" t="str">
        <f t="shared" si="0"/>
        <v>Não</v>
      </c>
      <c r="B53" s="106">
        <v>48</v>
      </c>
      <c r="C53" s="111" t="str">
        <f>IF($C$2=0,"",IF(ISERROR(VLOOKUP($C$2&amp;"-"&amp;$B53,'BD Seq Op'!$C:$H,2,FALSE)),"",VLOOKUP($C$2&amp;"-"&amp;$B53,'BD Seq Op'!$C:$H,2,FALSE)))</f>
        <v/>
      </c>
      <c r="D53" s="105" t="str">
        <f>IF($C$2=0,"",IF(ISERROR(VLOOKUP($C$2&amp;"-"&amp;$B53,'BD Seq Op'!$C:$H,3,FALSE)),"",VLOOKUP($C$2&amp;"-"&amp;$B53,'BD Seq Op'!$C:$H,3,FALSE)))</f>
        <v/>
      </c>
      <c r="E53" s="105" t="str">
        <f>IF($C$2=0,"",IF(ISERROR(VLOOKUP($C$2&amp;"-"&amp;$B53,'BD Seq Op'!$C:$H,4,FALSE)),"",VLOOKUP($C$2&amp;"-"&amp;$B53,'BD Seq Op'!$C:$H,4,FALSE)))</f>
        <v/>
      </c>
      <c r="F53" s="62" t="str">
        <f>IF($C$2=0,"",IF(ISERROR(VLOOKUP($C$2&amp;"-"&amp;$B53,'BD Seq Op'!$C:$H,5,FALSE)),"",VLOOKUP($C$2&amp;"-"&amp;$B53,'BD Seq Op'!$C:$H,5,FALSE)))</f>
        <v/>
      </c>
      <c r="G53" s="112" t="str">
        <f>IF(D53="","",VLOOKUP(D53,Máquinas!A:C,3,FALSE))</f>
        <v/>
      </c>
      <c r="H53" s="113" t="str">
        <f t="shared" si="1"/>
        <v/>
      </c>
      <c r="I53" s="62">
        <f t="shared" si="2"/>
        <v>0</v>
      </c>
      <c r="J53" s="62">
        <f t="shared" si="3"/>
        <v>0</v>
      </c>
      <c r="K53" s="7"/>
      <c r="L53" s="57"/>
      <c r="M53" s="57"/>
      <c r="N53" s="57"/>
      <c r="O53" s="57"/>
      <c r="P53" s="57"/>
      <c r="Q53" s="57"/>
      <c r="S53" s="57"/>
      <c r="T53" s="57"/>
      <c r="U53" s="57"/>
      <c r="V53" s="57"/>
      <c r="W53" s="57"/>
      <c r="X53" s="57"/>
      <c r="Y53" s="57"/>
      <c r="Z53" s="57"/>
      <c r="AA53" s="57"/>
      <c r="AB53" s="57"/>
      <c r="AC53" s="57"/>
    </row>
    <row r="54" spans="1:29" ht="18" customHeight="1" x14ac:dyDescent="0.25">
      <c r="A54" s="32" t="str">
        <f t="shared" si="0"/>
        <v>Não</v>
      </c>
      <c r="B54" s="105">
        <v>49</v>
      </c>
      <c r="C54" s="111" t="str">
        <f>IF($C$2=0,"",IF(ISERROR(VLOOKUP($C$2&amp;"-"&amp;$B54,'BD Seq Op'!$C:$H,2,FALSE)),"",VLOOKUP($C$2&amp;"-"&amp;$B54,'BD Seq Op'!$C:$H,2,FALSE)))</f>
        <v/>
      </c>
      <c r="D54" s="105" t="str">
        <f>IF($C$2=0,"",IF(ISERROR(VLOOKUP($C$2&amp;"-"&amp;$B54,'BD Seq Op'!$C:$H,3,FALSE)),"",VLOOKUP($C$2&amp;"-"&amp;$B54,'BD Seq Op'!$C:$H,3,FALSE)))</f>
        <v/>
      </c>
      <c r="E54" s="105" t="str">
        <f>IF($C$2=0,"",IF(ISERROR(VLOOKUP($C$2&amp;"-"&amp;$B54,'BD Seq Op'!$C:$H,4,FALSE)),"",VLOOKUP($C$2&amp;"-"&amp;$B54,'BD Seq Op'!$C:$H,4,FALSE)))</f>
        <v/>
      </c>
      <c r="F54" s="62" t="str">
        <f>IF($C$2=0,"",IF(ISERROR(VLOOKUP($C$2&amp;"-"&amp;$B54,'BD Seq Op'!$C:$H,5,FALSE)),"",VLOOKUP($C$2&amp;"-"&amp;$B54,'BD Seq Op'!$C:$H,5,FALSE)))</f>
        <v/>
      </c>
      <c r="G54" s="112" t="str">
        <f>IF(D54="","",VLOOKUP(D54,Máquinas!A:C,3,FALSE))</f>
        <v/>
      </c>
      <c r="H54" s="113" t="str">
        <f t="shared" si="1"/>
        <v/>
      </c>
      <c r="I54" s="62">
        <f t="shared" si="2"/>
        <v>0</v>
      </c>
      <c r="J54" s="62">
        <f t="shared" si="3"/>
        <v>0</v>
      </c>
      <c r="K54" s="7"/>
      <c r="L54" s="57"/>
      <c r="M54" s="57"/>
      <c r="N54" s="57"/>
      <c r="O54" s="57"/>
      <c r="P54" s="57"/>
      <c r="Q54" s="57"/>
      <c r="S54" s="57"/>
      <c r="T54" s="57"/>
      <c r="U54" s="57"/>
      <c r="V54" s="57"/>
      <c r="W54" s="57"/>
      <c r="X54" s="57"/>
      <c r="Y54" s="57"/>
      <c r="Z54" s="57"/>
      <c r="AA54" s="57"/>
      <c r="AB54" s="57"/>
      <c r="AC54" s="57"/>
    </row>
    <row r="55" spans="1:29" ht="18" customHeight="1" x14ac:dyDescent="0.25">
      <c r="A55" s="32" t="str">
        <f t="shared" si="0"/>
        <v>Não</v>
      </c>
      <c r="B55" s="106">
        <v>50</v>
      </c>
      <c r="C55" s="111" t="str">
        <f>IF($C$2=0,"",IF(ISERROR(VLOOKUP($C$2&amp;"-"&amp;$B55,'BD Seq Op'!$C:$H,2,FALSE)),"",VLOOKUP($C$2&amp;"-"&amp;$B55,'BD Seq Op'!$C:$H,2,FALSE)))</f>
        <v/>
      </c>
      <c r="D55" s="105" t="str">
        <f>IF($C$2=0,"",IF(ISERROR(VLOOKUP($C$2&amp;"-"&amp;$B55,'BD Seq Op'!$C:$H,3,FALSE)),"",VLOOKUP($C$2&amp;"-"&amp;$B55,'BD Seq Op'!$C:$H,3,FALSE)))</f>
        <v/>
      </c>
      <c r="E55" s="105" t="str">
        <f>IF($C$2=0,"",IF(ISERROR(VLOOKUP($C$2&amp;"-"&amp;$B55,'BD Seq Op'!$C:$H,4,FALSE)),"",VLOOKUP($C$2&amp;"-"&amp;$B55,'BD Seq Op'!$C:$H,4,FALSE)))</f>
        <v/>
      </c>
      <c r="F55" s="62" t="str">
        <f>IF($C$2=0,"",IF(ISERROR(VLOOKUP($C$2&amp;"-"&amp;$B55,'BD Seq Op'!$C:$H,5,FALSE)),"",VLOOKUP($C$2&amp;"-"&amp;$B55,'BD Seq Op'!$C:$H,5,FALSE)))</f>
        <v/>
      </c>
      <c r="G55" s="112" t="str">
        <f>IF(D55="","",VLOOKUP(D55,Máquinas!A:C,3,FALSE))</f>
        <v/>
      </c>
      <c r="H55" s="113" t="str">
        <f t="shared" si="1"/>
        <v/>
      </c>
      <c r="I55" s="62">
        <f t="shared" si="2"/>
        <v>0</v>
      </c>
      <c r="J55" s="62">
        <f t="shared" si="3"/>
        <v>0</v>
      </c>
      <c r="K55" s="7"/>
      <c r="L55" s="57"/>
      <c r="M55" s="57"/>
      <c r="N55" s="57"/>
      <c r="O55" s="57"/>
      <c r="P55" s="57"/>
      <c r="Q55" s="57"/>
      <c r="S55" s="57"/>
      <c r="T55" s="57"/>
      <c r="U55" s="57"/>
      <c r="V55" s="57"/>
      <c r="W55" s="57"/>
      <c r="X55" s="57"/>
      <c r="Y55" s="57"/>
      <c r="Z55" s="57"/>
      <c r="AA55" s="57"/>
      <c r="AB55" s="57"/>
      <c r="AC55" s="57"/>
    </row>
    <row r="56" spans="1:29" ht="18" customHeight="1" x14ac:dyDescent="0.25">
      <c r="A56" s="32" t="str">
        <f t="shared" si="0"/>
        <v>Não</v>
      </c>
      <c r="B56" s="105">
        <v>51</v>
      </c>
      <c r="C56" s="111" t="str">
        <f>IF($C$2=0,"",IF(ISERROR(VLOOKUP($C$2&amp;"-"&amp;$B56,'BD Seq Op'!$C:$H,2,FALSE)),"",VLOOKUP($C$2&amp;"-"&amp;$B56,'BD Seq Op'!$C:$H,2,FALSE)))</f>
        <v/>
      </c>
      <c r="D56" s="105" t="str">
        <f>IF($C$2=0,"",IF(ISERROR(VLOOKUP($C$2&amp;"-"&amp;$B56,'BD Seq Op'!$C:$H,3,FALSE)),"",VLOOKUP($C$2&amp;"-"&amp;$B56,'BD Seq Op'!$C:$H,3,FALSE)))</f>
        <v/>
      </c>
      <c r="E56" s="105" t="str">
        <f>IF($C$2=0,"",IF(ISERROR(VLOOKUP($C$2&amp;"-"&amp;$B56,'BD Seq Op'!$C:$H,4,FALSE)),"",VLOOKUP($C$2&amp;"-"&amp;$B56,'BD Seq Op'!$C:$H,4,FALSE)))</f>
        <v/>
      </c>
      <c r="F56" s="62" t="str">
        <f>IF($C$2=0,"",IF(ISERROR(VLOOKUP($C$2&amp;"-"&amp;$B56,'BD Seq Op'!$C:$H,5,FALSE)),"",VLOOKUP($C$2&amp;"-"&amp;$B56,'BD Seq Op'!$C:$H,5,FALSE)))</f>
        <v/>
      </c>
      <c r="G56" s="112" t="str">
        <f>IF(D56="","",VLOOKUP(D56,Máquinas!A:C,3,FALSE))</f>
        <v/>
      </c>
      <c r="H56" s="113" t="str">
        <f t="shared" si="1"/>
        <v/>
      </c>
      <c r="I56" s="62">
        <f t="shared" si="2"/>
        <v>0</v>
      </c>
      <c r="J56" s="62">
        <f t="shared" si="3"/>
        <v>0</v>
      </c>
      <c r="K56" s="7"/>
      <c r="L56" s="57"/>
      <c r="M56" s="57"/>
      <c r="N56" s="57"/>
      <c r="O56" s="57"/>
      <c r="P56" s="57"/>
      <c r="Q56" s="57"/>
      <c r="S56" s="57"/>
      <c r="T56" s="57"/>
      <c r="U56" s="57"/>
      <c r="V56" s="57"/>
      <c r="W56" s="57"/>
      <c r="X56" s="57"/>
      <c r="Y56" s="57"/>
      <c r="Z56" s="57"/>
      <c r="AA56" s="57"/>
      <c r="AB56" s="57"/>
      <c r="AC56" s="57"/>
    </row>
    <row r="57" spans="1:29" ht="18" customHeight="1" x14ac:dyDescent="0.25">
      <c r="A57" s="32" t="str">
        <f t="shared" si="0"/>
        <v>Não</v>
      </c>
      <c r="B57" s="106">
        <v>52</v>
      </c>
      <c r="C57" s="111" t="str">
        <f>IF($C$2=0,"",IF(ISERROR(VLOOKUP($C$2&amp;"-"&amp;$B57,'BD Seq Op'!$C:$H,2,FALSE)),"",VLOOKUP($C$2&amp;"-"&amp;$B57,'BD Seq Op'!$C:$H,2,FALSE)))</f>
        <v/>
      </c>
      <c r="D57" s="105" t="str">
        <f>IF($C$2=0,"",IF(ISERROR(VLOOKUP($C$2&amp;"-"&amp;$B57,'BD Seq Op'!$C:$H,3,FALSE)),"",VLOOKUP($C$2&amp;"-"&amp;$B57,'BD Seq Op'!$C:$H,3,FALSE)))</f>
        <v/>
      </c>
      <c r="E57" s="105" t="str">
        <f>IF($C$2=0,"",IF(ISERROR(VLOOKUP($C$2&amp;"-"&amp;$B57,'BD Seq Op'!$C:$H,4,FALSE)),"",VLOOKUP($C$2&amp;"-"&amp;$B57,'BD Seq Op'!$C:$H,4,FALSE)))</f>
        <v/>
      </c>
      <c r="F57" s="62" t="str">
        <f>IF($C$2=0,"",IF(ISERROR(VLOOKUP($C$2&amp;"-"&amp;$B57,'BD Seq Op'!$C:$H,5,FALSE)),"",VLOOKUP($C$2&amp;"-"&amp;$B57,'BD Seq Op'!$C:$H,5,FALSE)))</f>
        <v/>
      </c>
      <c r="G57" s="112" t="str">
        <f>IF(D57="","",VLOOKUP(D57,Máquinas!A:C,3,FALSE))</f>
        <v/>
      </c>
      <c r="H57" s="113" t="str">
        <f t="shared" si="1"/>
        <v/>
      </c>
      <c r="I57" s="62">
        <f t="shared" si="2"/>
        <v>0</v>
      </c>
      <c r="J57" s="62">
        <f t="shared" si="3"/>
        <v>0</v>
      </c>
      <c r="K57" s="7"/>
      <c r="L57" s="57"/>
      <c r="M57" s="57"/>
      <c r="N57" s="57"/>
      <c r="O57" s="57"/>
      <c r="P57" s="57"/>
      <c r="Q57" s="57"/>
      <c r="S57" s="57"/>
      <c r="T57" s="57"/>
      <c r="U57" s="57"/>
      <c r="V57" s="57"/>
      <c r="W57" s="57"/>
      <c r="X57" s="57"/>
      <c r="Y57" s="57"/>
      <c r="Z57" s="57"/>
      <c r="AA57" s="57"/>
      <c r="AB57" s="57"/>
      <c r="AC57" s="57"/>
    </row>
    <row r="58" spans="1:29" ht="18" customHeight="1" x14ac:dyDescent="0.25">
      <c r="A58" s="32" t="str">
        <f t="shared" si="0"/>
        <v>Não</v>
      </c>
      <c r="B58" s="105">
        <v>53</v>
      </c>
      <c r="C58" s="111" t="str">
        <f>IF($C$2=0,"",IF(ISERROR(VLOOKUP($C$2&amp;"-"&amp;$B58,'BD Seq Op'!$C:$H,2,FALSE)),"",VLOOKUP($C$2&amp;"-"&amp;$B58,'BD Seq Op'!$C:$H,2,FALSE)))</f>
        <v/>
      </c>
      <c r="D58" s="105" t="str">
        <f>IF($C$2=0,"",IF(ISERROR(VLOOKUP($C$2&amp;"-"&amp;$B58,'BD Seq Op'!$C:$H,3,FALSE)),"",VLOOKUP($C$2&amp;"-"&amp;$B58,'BD Seq Op'!$C:$H,3,FALSE)))</f>
        <v/>
      </c>
      <c r="E58" s="105" t="str">
        <f>IF($C$2=0,"",IF(ISERROR(VLOOKUP($C$2&amp;"-"&amp;$B58,'BD Seq Op'!$C:$H,4,FALSE)),"",VLOOKUP($C$2&amp;"-"&amp;$B58,'BD Seq Op'!$C:$H,4,FALSE)))</f>
        <v/>
      </c>
      <c r="F58" s="62" t="str">
        <f>IF($C$2=0,"",IF(ISERROR(VLOOKUP($C$2&amp;"-"&amp;$B58,'BD Seq Op'!$C:$H,5,FALSE)),"",VLOOKUP($C$2&amp;"-"&amp;$B58,'BD Seq Op'!$C:$H,5,FALSE)))</f>
        <v/>
      </c>
      <c r="G58" s="112" t="str">
        <f>IF(D58="","",VLOOKUP(D58,Máquinas!A:C,3,FALSE))</f>
        <v/>
      </c>
      <c r="H58" s="113" t="str">
        <f t="shared" si="1"/>
        <v/>
      </c>
      <c r="I58" s="62">
        <f t="shared" si="2"/>
        <v>0</v>
      </c>
      <c r="J58" s="62">
        <f t="shared" si="3"/>
        <v>0</v>
      </c>
      <c r="K58" s="7"/>
      <c r="L58" s="57"/>
      <c r="M58" s="57"/>
      <c r="N58" s="57"/>
      <c r="O58" s="57"/>
      <c r="P58" s="57"/>
      <c r="Q58" s="57"/>
      <c r="S58" s="57"/>
      <c r="T58" s="57"/>
      <c r="U58" s="57"/>
      <c r="V58" s="57"/>
      <c r="W58" s="57"/>
      <c r="X58" s="57"/>
      <c r="Y58" s="57"/>
      <c r="Z58" s="57"/>
      <c r="AA58" s="57"/>
      <c r="AB58" s="57"/>
      <c r="AC58" s="57"/>
    </row>
    <row r="59" spans="1:29" ht="18" customHeight="1" x14ac:dyDescent="0.25">
      <c r="A59" s="32" t="str">
        <f t="shared" si="0"/>
        <v>Não</v>
      </c>
      <c r="B59" s="106">
        <v>54</v>
      </c>
      <c r="C59" s="111" t="str">
        <f>IF($C$2=0,"",IF(ISERROR(VLOOKUP($C$2&amp;"-"&amp;$B59,'BD Seq Op'!$C:$H,2,FALSE)),"",VLOOKUP($C$2&amp;"-"&amp;$B59,'BD Seq Op'!$C:$H,2,FALSE)))</f>
        <v/>
      </c>
      <c r="D59" s="105" t="str">
        <f>IF($C$2=0,"",IF(ISERROR(VLOOKUP($C$2&amp;"-"&amp;$B59,'BD Seq Op'!$C:$H,3,FALSE)),"",VLOOKUP($C$2&amp;"-"&amp;$B59,'BD Seq Op'!$C:$H,3,FALSE)))</f>
        <v/>
      </c>
      <c r="E59" s="105" t="str">
        <f>IF($C$2=0,"",IF(ISERROR(VLOOKUP($C$2&amp;"-"&amp;$B59,'BD Seq Op'!$C:$H,4,FALSE)),"",VLOOKUP($C$2&amp;"-"&amp;$B59,'BD Seq Op'!$C:$H,4,FALSE)))</f>
        <v/>
      </c>
      <c r="F59" s="62" t="str">
        <f>IF($C$2=0,"",IF(ISERROR(VLOOKUP($C$2&amp;"-"&amp;$B59,'BD Seq Op'!$C:$H,5,FALSE)),"",VLOOKUP($C$2&amp;"-"&amp;$B59,'BD Seq Op'!$C:$H,5,FALSE)))</f>
        <v/>
      </c>
      <c r="G59" s="112" t="str">
        <f>IF(D59="","",VLOOKUP(D59,Máquinas!A:C,3,FALSE))</f>
        <v/>
      </c>
      <c r="H59" s="113" t="str">
        <f t="shared" si="1"/>
        <v/>
      </c>
      <c r="I59" s="62">
        <f t="shared" si="2"/>
        <v>0</v>
      </c>
      <c r="J59" s="62">
        <f t="shared" si="3"/>
        <v>0</v>
      </c>
      <c r="K59" s="7"/>
      <c r="L59" s="57"/>
      <c r="M59" s="57"/>
      <c r="N59" s="57"/>
      <c r="O59" s="57"/>
      <c r="P59" s="57"/>
      <c r="Q59" s="57"/>
      <c r="S59" s="57"/>
      <c r="T59" s="57"/>
      <c r="U59" s="57"/>
      <c r="V59" s="57"/>
      <c r="W59" s="57"/>
      <c r="X59" s="57"/>
      <c r="Y59" s="57"/>
      <c r="Z59" s="57"/>
      <c r="AA59" s="57"/>
      <c r="AB59" s="57"/>
      <c r="AC59" s="57"/>
    </row>
    <row r="60" spans="1:29" ht="18" customHeight="1" x14ac:dyDescent="0.25">
      <c r="A60" s="32" t="str">
        <f t="shared" si="0"/>
        <v>Não</v>
      </c>
      <c r="B60" s="105">
        <v>55</v>
      </c>
      <c r="C60" s="111" t="str">
        <f>IF($C$2=0,"",IF(ISERROR(VLOOKUP($C$2&amp;"-"&amp;$B60,'BD Seq Op'!$C:$H,2,FALSE)),"",VLOOKUP($C$2&amp;"-"&amp;$B60,'BD Seq Op'!$C:$H,2,FALSE)))</f>
        <v/>
      </c>
      <c r="D60" s="105" t="str">
        <f>IF($C$2=0,"",IF(ISERROR(VLOOKUP($C$2&amp;"-"&amp;$B60,'BD Seq Op'!$C:$H,3,FALSE)),"",VLOOKUP($C$2&amp;"-"&amp;$B60,'BD Seq Op'!$C:$H,3,FALSE)))</f>
        <v/>
      </c>
      <c r="E60" s="105" t="str">
        <f>IF($C$2=0,"",IF(ISERROR(VLOOKUP($C$2&amp;"-"&amp;$B60,'BD Seq Op'!$C:$H,4,FALSE)),"",VLOOKUP($C$2&amp;"-"&amp;$B60,'BD Seq Op'!$C:$H,4,FALSE)))</f>
        <v/>
      </c>
      <c r="F60" s="62" t="str">
        <f>IF($C$2=0,"",IF(ISERROR(VLOOKUP($C$2&amp;"-"&amp;$B60,'BD Seq Op'!$C:$H,5,FALSE)),"",VLOOKUP($C$2&amp;"-"&amp;$B60,'BD Seq Op'!$C:$H,5,FALSE)))</f>
        <v/>
      </c>
      <c r="G60" s="112" t="str">
        <f>IF(D60="","",VLOOKUP(D60,Máquinas!A:C,3,FALSE))</f>
        <v/>
      </c>
      <c r="H60" s="113" t="str">
        <f t="shared" si="1"/>
        <v/>
      </c>
      <c r="I60" s="62">
        <f t="shared" si="2"/>
        <v>0</v>
      </c>
      <c r="J60" s="62">
        <f t="shared" si="3"/>
        <v>0</v>
      </c>
      <c r="K60" s="7"/>
      <c r="L60" s="57"/>
      <c r="M60" s="57"/>
      <c r="N60" s="57"/>
      <c r="O60" s="57"/>
      <c r="P60" s="57"/>
      <c r="Q60" s="57"/>
      <c r="S60" s="57"/>
      <c r="T60" s="57"/>
      <c r="U60" s="57"/>
      <c r="V60" s="57"/>
      <c r="W60" s="57"/>
      <c r="X60" s="57"/>
      <c r="Y60" s="57"/>
      <c r="Z60" s="57"/>
      <c r="AA60" s="57"/>
      <c r="AB60" s="57"/>
      <c r="AC60" s="57"/>
    </row>
    <row r="61" spans="1:29" ht="18" customHeight="1" x14ac:dyDescent="0.25">
      <c r="A61" s="32" t="str">
        <f t="shared" si="0"/>
        <v>Não</v>
      </c>
      <c r="B61" s="106">
        <v>56</v>
      </c>
      <c r="C61" s="111" t="str">
        <f>IF($C$2=0,"",IF(ISERROR(VLOOKUP($C$2&amp;"-"&amp;$B61,'BD Seq Op'!$C:$H,2,FALSE)),"",VLOOKUP($C$2&amp;"-"&amp;$B61,'BD Seq Op'!$C:$H,2,FALSE)))</f>
        <v/>
      </c>
      <c r="D61" s="105" t="str">
        <f>IF($C$2=0,"",IF(ISERROR(VLOOKUP($C$2&amp;"-"&amp;$B61,'BD Seq Op'!$C:$H,3,FALSE)),"",VLOOKUP($C$2&amp;"-"&amp;$B61,'BD Seq Op'!$C:$H,3,FALSE)))</f>
        <v/>
      </c>
      <c r="E61" s="105" t="str">
        <f>IF($C$2=0,"",IF(ISERROR(VLOOKUP($C$2&amp;"-"&amp;$B61,'BD Seq Op'!$C:$H,4,FALSE)),"",VLOOKUP($C$2&amp;"-"&amp;$B61,'BD Seq Op'!$C:$H,4,FALSE)))</f>
        <v/>
      </c>
      <c r="F61" s="62" t="str">
        <f>IF($C$2=0,"",IF(ISERROR(VLOOKUP($C$2&amp;"-"&amp;$B61,'BD Seq Op'!$C:$H,5,FALSE)),"",VLOOKUP($C$2&amp;"-"&amp;$B61,'BD Seq Op'!$C:$H,5,FALSE)))</f>
        <v/>
      </c>
      <c r="G61" s="112" t="str">
        <f>IF(D61="","",VLOOKUP(D61,Máquinas!A:C,3,FALSE))</f>
        <v/>
      </c>
      <c r="H61" s="113" t="str">
        <f t="shared" si="1"/>
        <v/>
      </c>
      <c r="I61" s="62">
        <f t="shared" si="2"/>
        <v>0</v>
      </c>
      <c r="J61" s="62">
        <f t="shared" si="3"/>
        <v>0</v>
      </c>
      <c r="K61" s="7"/>
      <c r="L61" s="57"/>
      <c r="M61" s="57"/>
      <c r="N61" s="57"/>
      <c r="O61" s="57"/>
      <c r="P61" s="57"/>
      <c r="Q61" s="57"/>
      <c r="S61" s="57"/>
      <c r="T61" s="57"/>
      <c r="U61" s="57"/>
      <c r="V61" s="57"/>
      <c r="W61" s="57"/>
      <c r="X61" s="57"/>
      <c r="Y61" s="57"/>
      <c r="Z61" s="57"/>
      <c r="AA61" s="57"/>
      <c r="AB61" s="57"/>
      <c r="AC61" s="57"/>
    </row>
    <row r="62" spans="1:29" ht="18" customHeight="1" x14ac:dyDescent="0.25">
      <c r="A62" s="32" t="str">
        <f t="shared" si="0"/>
        <v>Não</v>
      </c>
      <c r="B62" s="105">
        <v>57</v>
      </c>
      <c r="C62" s="111" t="str">
        <f>IF($C$2=0,"",IF(ISERROR(VLOOKUP($C$2&amp;"-"&amp;$B62,'BD Seq Op'!$C:$H,2,FALSE)),"",VLOOKUP($C$2&amp;"-"&amp;$B62,'BD Seq Op'!$C:$H,2,FALSE)))</f>
        <v/>
      </c>
      <c r="D62" s="105" t="str">
        <f>IF($C$2=0,"",IF(ISERROR(VLOOKUP($C$2&amp;"-"&amp;$B62,'BD Seq Op'!$C:$H,3,FALSE)),"",VLOOKUP($C$2&amp;"-"&amp;$B62,'BD Seq Op'!$C:$H,3,FALSE)))</f>
        <v/>
      </c>
      <c r="E62" s="105" t="str">
        <f>IF($C$2=0,"",IF(ISERROR(VLOOKUP($C$2&amp;"-"&amp;$B62,'BD Seq Op'!$C:$H,4,FALSE)),"",VLOOKUP($C$2&amp;"-"&amp;$B62,'BD Seq Op'!$C:$H,4,FALSE)))</f>
        <v/>
      </c>
      <c r="F62" s="62" t="str">
        <f>IF($C$2=0,"",IF(ISERROR(VLOOKUP($C$2&amp;"-"&amp;$B62,'BD Seq Op'!$C:$H,5,FALSE)),"",VLOOKUP($C$2&amp;"-"&amp;$B62,'BD Seq Op'!$C:$H,5,FALSE)))</f>
        <v/>
      </c>
      <c r="G62" s="112" t="str">
        <f>IF(D62="","",VLOOKUP(D62,Máquinas!A:C,3,FALSE))</f>
        <v/>
      </c>
      <c r="H62" s="113" t="str">
        <f t="shared" si="1"/>
        <v/>
      </c>
      <c r="I62" s="62">
        <f t="shared" si="2"/>
        <v>0</v>
      </c>
      <c r="J62" s="62">
        <f t="shared" si="3"/>
        <v>0</v>
      </c>
      <c r="K62" s="7"/>
      <c r="L62" s="57"/>
      <c r="M62" s="57"/>
      <c r="N62" s="57"/>
      <c r="O62" s="57"/>
      <c r="P62" s="57"/>
      <c r="Q62" s="57"/>
      <c r="S62" s="57"/>
      <c r="T62" s="57"/>
      <c r="U62" s="57"/>
      <c r="V62" s="57"/>
      <c r="W62" s="57"/>
      <c r="X62" s="57"/>
      <c r="Y62" s="57"/>
      <c r="Z62" s="57"/>
      <c r="AA62" s="57"/>
      <c r="AB62" s="57"/>
      <c r="AC62" s="57"/>
    </row>
    <row r="63" spans="1:29" ht="18" customHeight="1" x14ac:dyDescent="0.25">
      <c r="A63" s="32" t="str">
        <f t="shared" si="0"/>
        <v>Não</v>
      </c>
      <c r="B63" s="106">
        <v>58</v>
      </c>
      <c r="C63" s="111" t="str">
        <f>IF($C$2=0,"",IF(ISERROR(VLOOKUP($C$2&amp;"-"&amp;$B63,'BD Seq Op'!$C:$H,2,FALSE)),"",VLOOKUP($C$2&amp;"-"&amp;$B63,'BD Seq Op'!$C:$H,2,FALSE)))</f>
        <v/>
      </c>
      <c r="D63" s="105" t="str">
        <f>IF($C$2=0,"",IF(ISERROR(VLOOKUP($C$2&amp;"-"&amp;$B63,'BD Seq Op'!$C:$H,3,FALSE)),"",VLOOKUP($C$2&amp;"-"&amp;$B63,'BD Seq Op'!$C:$H,3,FALSE)))</f>
        <v/>
      </c>
      <c r="E63" s="105" t="str">
        <f>IF($C$2=0,"",IF(ISERROR(VLOOKUP($C$2&amp;"-"&amp;$B63,'BD Seq Op'!$C:$H,4,FALSE)),"",VLOOKUP($C$2&amp;"-"&amp;$B63,'BD Seq Op'!$C:$H,4,FALSE)))</f>
        <v/>
      </c>
      <c r="F63" s="62" t="str">
        <f>IF($C$2=0,"",IF(ISERROR(VLOOKUP($C$2&amp;"-"&amp;$B63,'BD Seq Op'!$C:$H,5,FALSE)),"",VLOOKUP($C$2&amp;"-"&amp;$B63,'BD Seq Op'!$C:$H,5,FALSE)))</f>
        <v/>
      </c>
      <c r="G63" s="112" t="str">
        <f>IF(D63="","",VLOOKUP(D63,Máquinas!A:C,3,FALSE))</f>
        <v/>
      </c>
      <c r="H63" s="113" t="str">
        <f t="shared" si="1"/>
        <v/>
      </c>
      <c r="I63" s="62">
        <f t="shared" si="2"/>
        <v>0</v>
      </c>
      <c r="J63" s="62">
        <f t="shared" si="3"/>
        <v>0</v>
      </c>
      <c r="K63" s="7"/>
      <c r="L63" s="57"/>
      <c r="M63" s="57"/>
      <c r="N63" s="57"/>
      <c r="O63" s="57"/>
      <c r="P63" s="57"/>
      <c r="Q63" s="57"/>
      <c r="S63" s="57"/>
      <c r="T63" s="57"/>
      <c r="U63" s="57"/>
      <c r="V63" s="57"/>
      <c r="W63" s="57"/>
      <c r="X63" s="57"/>
      <c r="Y63" s="57"/>
      <c r="Z63" s="57"/>
      <c r="AA63" s="57"/>
      <c r="AB63" s="57"/>
      <c r="AC63" s="57"/>
    </row>
    <row r="64" spans="1:29" ht="18" customHeight="1" x14ac:dyDescent="0.25">
      <c r="A64" s="32" t="str">
        <f t="shared" si="0"/>
        <v>Não</v>
      </c>
      <c r="B64" s="105">
        <v>59</v>
      </c>
      <c r="C64" s="111" t="str">
        <f>IF($C$2=0,"",IF(ISERROR(VLOOKUP($C$2&amp;"-"&amp;$B64,'BD Seq Op'!$C:$H,2,FALSE)),"",VLOOKUP($C$2&amp;"-"&amp;$B64,'BD Seq Op'!$C:$H,2,FALSE)))</f>
        <v/>
      </c>
      <c r="D64" s="105" t="str">
        <f>IF($C$2=0,"",IF(ISERROR(VLOOKUP($C$2&amp;"-"&amp;$B64,'BD Seq Op'!$C:$H,3,FALSE)),"",VLOOKUP($C$2&amp;"-"&amp;$B64,'BD Seq Op'!$C:$H,3,FALSE)))</f>
        <v/>
      </c>
      <c r="E64" s="105" t="str">
        <f>IF($C$2=0,"",IF(ISERROR(VLOOKUP($C$2&amp;"-"&amp;$B64,'BD Seq Op'!$C:$H,4,FALSE)),"",VLOOKUP($C$2&amp;"-"&amp;$B64,'BD Seq Op'!$C:$H,4,FALSE)))</f>
        <v/>
      </c>
      <c r="F64" s="62" t="str">
        <f>IF($C$2=0,"",IF(ISERROR(VLOOKUP($C$2&amp;"-"&amp;$B64,'BD Seq Op'!$C:$H,5,FALSE)),"",VLOOKUP($C$2&amp;"-"&amp;$B64,'BD Seq Op'!$C:$H,5,FALSE)))</f>
        <v/>
      </c>
      <c r="G64" s="112" t="str">
        <f>IF(D64="","",VLOOKUP(D64,Máquinas!A:C,3,FALSE))</f>
        <v/>
      </c>
      <c r="H64" s="113" t="str">
        <f t="shared" si="1"/>
        <v/>
      </c>
      <c r="I64" s="62">
        <f t="shared" si="2"/>
        <v>0</v>
      </c>
      <c r="J64" s="62">
        <f t="shared" si="3"/>
        <v>0</v>
      </c>
      <c r="K64" s="7"/>
      <c r="L64" s="57"/>
      <c r="M64" s="57"/>
      <c r="N64" s="57"/>
      <c r="O64" s="57"/>
      <c r="P64" s="57"/>
      <c r="Q64" s="57"/>
      <c r="S64" s="57"/>
      <c r="T64" s="57"/>
      <c r="U64" s="57"/>
      <c r="V64" s="57"/>
      <c r="W64" s="57"/>
      <c r="X64" s="57"/>
      <c r="Y64" s="57"/>
      <c r="Z64" s="57"/>
      <c r="AA64" s="57"/>
      <c r="AB64" s="57"/>
      <c r="AC64" s="57"/>
    </row>
    <row r="65" spans="1:29" ht="18" customHeight="1" x14ac:dyDescent="0.25">
      <c r="A65" s="32" t="str">
        <f t="shared" si="0"/>
        <v>Não</v>
      </c>
      <c r="B65" s="106">
        <v>60</v>
      </c>
      <c r="C65" s="111" t="str">
        <f>IF($C$2=0,"",IF(ISERROR(VLOOKUP($C$2&amp;"-"&amp;$B65,'BD Seq Op'!$C:$H,2,FALSE)),"",VLOOKUP($C$2&amp;"-"&amp;$B65,'BD Seq Op'!$C:$H,2,FALSE)))</f>
        <v/>
      </c>
      <c r="D65" s="105" t="str">
        <f>IF($C$2=0,"",IF(ISERROR(VLOOKUP($C$2&amp;"-"&amp;$B65,'BD Seq Op'!$C:$H,3,FALSE)),"",VLOOKUP($C$2&amp;"-"&amp;$B65,'BD Seq Op'!$C:$H,3,FALSE)))</f>
        <v/>
      </c>
      <c r="E65" s="105" t="str">
        <f>IF($C$2=0,"",IF(ISERROR(VLOOKUP($C$2&amp;"-"&amp;$B65,'BD Seq Op'!$C:$H,4,FALSE)),"",VLOOKUP($C$2&amp;"-"&amp;$B65,'BD Seq Op'!$C:$H,4,FALSE)))</f>
        <v/>
      </c>
      <c r="F65" s="62" t="str">
        <f>IF($C$2=0,"",IF(ISERROR(VLOOKUP($C$2&amp;"-"&amp;$B65,'BD Seq Op'!$C:$H,5,FALSE)),"",VLOOKUP($C$2&amp;"-"&amp;$B65,'BD Seq Op'!$C:$H,5,FALSE)))</f>
        <v/>
      </c>
      <c r="G65" s="112" t="str">
        <f>IF(D65="","",VLOOKUP(D65,Máquinas!A:C,3,FALSE))</f>
        <v/>
      </c>
      <c r="H65" s="113" t="str">
        <f t="shared" si="1"/>
        <v/>
      </c>
      <c r="I65" s="62">
        <f t="shared" si="2"/>
        <v>0</v>
      </c>
      <c r="J65" s="62">
        <f t="shared" si="3"/>
        <v>0</v>
      </c>
      <c r="K65" s="7"/>
      <c r="L65" s="57"/>
      <c r="M65" s="57"/>
      <c r="N65" s="57"/>
      <c r="O65" s="57"/>
      <c r="P65" s="57"/>
      <c r="Q65" s="57"/>
      <c r="S65" s="57"/>
      <c r="T65" s="57"/>
      <c r="U65" s="57"/>
      <c r="V65" s="57"/>
      <c r="W65" s="57"/>
      <c r="X65" s="57"/>
      <c r="Y65" s="57"/>
      <c r="Z65" s="57"/>
      <c r="AA65" s="57"/>
      <c r="AB65" s="57"/>
      <c r="AC65" s="57"/>
    </row>
    <row r="66" spans="1:29" ht="18" customHeight="1" x14ac:dyDescent="0.25">
      <c r="A66" s="32" t="str">
        <f t="shared" si="0"/>
        <v>Não</v>
      </c>
      <c r="B66" s="105">
        <v>61</v>
      </c>
      <c r="C66" s="111" t="str">
        <f>IF($C$2=0,"",IF(ISERROR(VLOOKUP($C$2&amp;"-"&amp;$B66,'BD Seq Op'!$C:$H,2,FALSE)),"",VLOOKUP($C$2&amp;"-"&amp;$B66,'BD Seq Op'!$C:$H,2,FALSE)))</f>
        <v/>
      </c>
      <c r="D66" s="105" t="str">
        <f>IF($C$2=0,"",IF(ISERROR(VLOOKUP($C$2&amp;"-"&amp;$B66,'BD Seq Op'!$C:$H,3,FALSE)),"",VLOOKUP($C$2&amp;"-"&amp;$B66,'BD Seq Op'!$C:$H,3,FALSE)))</f>
        <v/>
      </c>
      <c r="E66" s="105" t="str">
        <f>IF($C$2=0,"",IF(ISERROR(VLOOKUP($C$2&amp;"-"&amp;$B66,'BD Seq Op'!$C:$H,4,FALSE)),"",VLOOKUP($C$2&amp;"-"&amp;$B66,'BD Seq Op'!$C:$H,4,FALSE)))</f>
        <v/>
      </c>
      <c r="F66" s="62" t="str">
        <f>IF($C$2=0,"",IF(ISERROR(VLOOKUP($C$2&amp;"-"&amp;$B66,'BD Seq Op'!$C:$H,5,FALSE)),"",VLOOKUP($C$2&amp;"-"&amp;$B66,'BD Seq Op'!$C:$H,5,FALSE)))</f>
        <v/>
      </c>
      <c r="G66" s="112" t="str">
        <f>IF(D66="","",VLOOKUP(D66,Máquinas!A:C,3,FALSE))</f>
        <v/>
      </c>
      <c r="H66" s="113" t="str">
        <f t="shared" si="1"/>
        <v/>
      </c>
      <c r="I66" s="62">
        <f t="shared" si="2"/>
        <v>0</v>
      </c>
      <c r="J66" s="62">
        <f t="shared" si="3"/>
        <v>0</v>
      </c>
      <c r="K66" s="7"/>
      <c r="L66" s="57"/>
      <c r="M66" s="57"/>
      <c r="N66" s="57"/>
      <c r="O66" s="57"/>
      <c r="P66" s="57"/>
      <c r="Q66" s="57"/>
      <c r="S66" s="57"/>
      <c r="T66" s="57"/>
      <c r="U66" s="57"/>
      <c r="V66" s="57"/>
      <c r="W66" s="57"/>
      <c r="X66" s="57"/>
      <c r="Y66" s="57"/>
      <c r="Z66" s="57"/>
      <c r="AA66" s="57"/>
      <c r="AB66" s="57"/>
      <c r="AC66" s="57"/>
    </row>
    <row r="67" spans="1:29" ht="18" customHeight="1" x14ac:dyDescent="0.25">
      <c r="A67" s="32" t="str">
        <f t="shared" si="0"/>
        <v>Não</v>
      </c>
      <c r="B67" s="106">
        <v>62</v>
      </c>
      <c r="C67" s="111" t="str">
        <f>IF($C$2=0,"",IF(ISERROR(VLOOKUP($C$2&amp;"-"&amp;$B67,'BD Seq Op'!$C:$H,2,FALSE)),"",VLOOKUP($C$2&amp;"-"&amp;$B67,'BD Seq Op'!$C:$H,2,FALSE)))</f>
        <v/>
      </c>
      <c r="D67" s="105" t="str">
        <f>IF($C$2=0,"",IF(ISERROR(VLOOKUP($C$2&amp;"-"&amp;$B67,'BD Seq Op'!$C:$H,3,FALSE)),"",VLOOKUP($C$2&amp;"-"&amp;$B67,'BD Seq Op'!$C:$H,3,FALSE)))</f>
        <v/>
      </c>
      <c r="E67" s="105" t="str">
        <f>IF($C$2=0,"",IF(ISERROR(VLOOKUP($C$2&amp;"-"&amp;$B67,'BD Seq Op'!$C:$H,4,FALSE)),"",VLOOKUP($C$2&amp;"-"&amp;$B67,'BD Seq Op'!$C:$H,4,FALSE)))</f>
        <v/>
      </c>
      <c r="F67" s="62" t="str">
        <f>IF($C$2=0,"",IF(ISERROR(VLOOKUP($C$2&amp;"-"&amp;$B67,'BD Seq Op'!$C:$H,5,FALSE)),"",VLOOKUP($C$2&amp;"-"&amp;$B67,'BD Seq Op'!$C:$H,5,FALSE)))</f>
        <v/>
      </c>
      <c r="G67" s="112" t="str">
        <f>IF(D67="","",VLOOKUP(D67,Máquinas!A:C,3,FALSE))</f>
        <v/>
      </c>
      <c r="H67" s="113" t="str">
        <f t="shared" si="1"/>
        <v/>
      </c>
      <c r="I67" s="62">
        <f t="shared" si="2"/>
        <v>0</v>
      </c>
      <c r="J67" s="62">
        <f t="shared" si="3"/>
        <v>0</v>
      </c>
      <c r="K67" s="7"/>
      <c r="L67" s="57"/>
      <c r="M67" s="57"/>
      <c r="N67" s="57"/>
      <c r="O67" s="57"/>
      <c r="P67" s="57"/>
      <c r="Q67" s="57"/>
      <c r="S67" s="57"/>
      <c r="T67" s="57"/>
      <c r="U67" s="57"/>
      <c r="V67" s="57"/>
      <c r="W67" s="57"/>
      <c r="X67" s="57"/>
      <c r="Y67" s="57"/>
      <c r="Z67" s="57"/>
      <c r="AA67" s="57"/>
      <c r="AB67" s="57"/>
      <c r="AC67" s="57"/>
    </row>
    <row r="68" spans="1:29" ht="18" customHeight="1" x14ac:dyDescent="0.25">
      <c r="A68" s="32" t="str">
        <f t="shared" si="0"/>
        <v>Não</v>
      </c>
      <c r="B68" s="105">
        <v>63</v>
      </c>
      <c r="C68" s="111" t="str">
        <f>IF($C$2=0,"",IF(ISERROR(VLOOKUP($C$2&amp;"-"&amp;$B68,'BD Seq Op'!$C:$H,2,FALSE)),"",VLOOKUP($C$2&amp;"-"&amp;$B68,'BD Seq Op'!$C:$H,2,FALSE)))</f>
        <v/>
      </c>
      <c r="D68" s="105" t="str">
        <f>IF($C$2=0,"",IF(ISERROR(VLOOKUP($C$2&amp;"-"&amp;$B68,'BD Seq Op'!$C:$H,3,FALSE)),"",VLOOKUP($C$2&amp;"-"&amp;$B68,'BD Seq Op'!$C:$H,3,FALSE)))</f>
        <v/>
      </c>
      <c r="E68" s="105" t="str">
        <f>IF($C$2=0,"",IF(ISERROR(VLOOKUP($C$2&amp;"-"&amp;$B68,'BD Seq Op'!$C:$H,4,FALSE)),"",VLOOKUP($C$2&amp;"-"&amp;$B68,'BD Seq Op'!$C:$H,4,FALSE)))</f>
        <v/>
      </c>
      <c r="F68" s="62" t="str">
        <f>IF($C$2=0,"",IF(ISERROR(VLOOKUP($C$2&amp;"-"&amp;$B68,'BD Seq Op'!$C:$H,5,FALSE)),"",VLOOKUP($C$2&amp;"-"&amp;$B68,'BD Seq Op'!$C:$H,5,FALSE)))</f>
        <v/>
      </c>
      <c r="G68" s="112" t="str">
        <f>IF(D68="","",VLOOKUP(D68,Máquinas!A:C,3,FALSE))</f>
        <v/>
      </c>
      <c r="H68" s="113" t="str">
        <f t="shared" si="1"/>
        <v/>
      </c>
      <c r="I68" s="62">
        <f t="shared" si="2"/>
        <v>0</v>
      </c>
      <c r="J68" s="62">
        <f t="shared" si="3"/>
        <v>0</v>
      </c>
      <c r="K68" s="7"/>
      <c r="L68" s="57"/>
      <c r="M68" s="57"/>
      <c r="N68" s="57"/>
      <c r="O68" s="57"/>
      <c r="P68" s="57"/>
      <c r="Q68" s="57"/>
      <c r="S68" s="57"/>
      <c r="T68" s="57"/>
      <c r="U68" s="57"/>
      <c r="V68" s="57"/>
      <c r="W68" s="57"/>
      <c r="X68" s="57"/>
      <c r="Y68" s="57"/>
      <c r="Z68" s="57"/>
      <c r="AA68" s="57"/>
      <c r="AB68" s="57"/>
      <c r="AC68" s="57"/>
    </row>
    <row r="69" spans="1:29" ht="18" customHeight="1" x14ac:dyDescent="0.25">
      <c r="A69" s="32" t="str">
        <f t="shared" si="0"/>
        <v>Não</v>
      </c>
      <c r="B69" s="106">
        <v>64</v>
      </c>
      <c r="C69" s="111" t="str">
        <f>IF($C$2=0,"",IF(ISERROR(VLOOKUP($C$2&amp;"-"&amp;$B69,'BD Seq Op'!$C:$H,2,FALSE)),"",VLOOKUP($C$2&amp;"-"&amp;$B69,'BD Seq Op'!$C:$H,2,FALSE)))</f>
        <v/>
      </c>
      <c r="D69" s="105" t="str">
        <f>IF($C$2=0,"",IF(ISERROR(VLOOKUP($C$2&amp;"-"&amp;$B69,'BD Seq Op'!$C:$H,3,FALSE)),"",VLOOKUP($C$2&amp;"-"&amp;$B69,'BD Seq Op'!$C:$H,3,FALSE)))</f>
        <v/>
      </c>
      <c r="E69" s="105" t="str">
        <f>IF($C$2=0,"",IF(ISERROR(VLOOKUP($C$2&amp;"-"&amp;$B69,'BD Seq Op'!$C:$H,4,FALSE)),"",VLOOKUP($C$2&amp;"-"&amp;$B69,'BD Seq Op'!$C:$H,4,FALSE)))</f>
        <v/>
      </c>
      <c r="F69" s="62" t="str">
        <f>IF($C$2=0,"",IF(ISERROR(VLOOKUP($C$2&amp;"-"&amp;$B69,'BD Seq Op'!$C:$H,5,FALSE)),"",VLOOKUP($C$2&amp;"-"&amp;$B69,'BD Seq Op'!$C:$H,5,FALSE)))</f>
        <v/>
      </c>
      <c r="G69" s="112" t="str">
        <f>IF(D69="","",VLOOKUP(D69,Máquinas!A:C,3,FALSE))</f>
        <v/>
      </c>
      <c r="H69" s="113" t="str">
        <f t="shared" si="1"/>
        <v/>
      </c>
      <c r="I69" s="62">
        <f t="shared" si="2"/>
        <v>0</v>
      </c>
      <c r="J69" s="62">
        <f t="shared" si="3"/>
        <v>0</v>
      </c>
      <c r="K69" s="7"/>
      <c r="L69" s="57"/>
      <c r="M69" s="57"/>
      <c r="N69" s="57"/>
      <c r="O69" s="57"/>
      <c r="P69" s="57"/>
      <c r="Q69" s="57"/>
      <c r="S69" s="57"/>
      <c r="T69" s="57"/>
      <c r="U69" s="57"/>
      <c r="V69" s="57"/>
      <c r="W69" s="57"/>
      <c r="X69" s="57"/>
      <c r="Y69" s="57"/>
      <c r="Z69" s="57"/>
      <c r="AA69" s="57"/>
      <c r="AB69" s="57"/>
      <c r="AC69" s="57"/>
    </row>
    <row r="70" spans="1:29" ht="18" customHeight="1" x14ac:dyDescent="0.25">
      <c r="A70" s="32" t="str">
        <f t="shared" si="0"/>
        <v>Não</v>
      </c>
      <c r="B70" s="105">
        <v>65</v>
      </c>
      <c r="C70" s="111" t="str">
        <f>IF($C$2=0,"",IF(ISERROR(VLOOKUP($C$2&amp;"-"&amp;$B70,'BD Seq Op'!$C:$H,2,FALSE)),"",VLOOKUP($C$2&amp;"-"&amp;$B70,'BD Seq Op'!$C:$H,2,FALSE)))</f>
        <v/>
      </c>
      <c r="D70" s="105" t="str">
        <f>IF($C$2=0,"",IF(ISERROR(VLOOKUP($C$2&amp;"-"&amp;$B70,'BD Seq Op'!$C:$H,3,FALSE)),"",VLOOKUP($C$2&amp;"-"&amp;$B70,'BD Seq Op'!$C:$H,3,FALSE)))</f>
        <v/>
      </c>
      <c r="E70" s="105" t="str">
        <f>IF($C$2=0,"",IF(ISERROR(VLOOKUP($C$2&amp;"-"&amp;$B70,'BD Seq Op'!$C:$H,4,FALSE)),"",VLOOKUP($C$2&amp;"-"&amp;$B70,'BD Seq Op'!$C:$H,4,FALSE)))</f>
        <v/>
      </c>
      <c r="F70" s="62" t="str">
        <f>IF($C$2=0,"",IF(ISERROR(VLOOKUP($C$2&amp;"-"&amp;$B70,'BD Seq Op'!$C:$H,5,FALSE)),"",VLOOKUP($C$2&amp;"-"&amp;$B70,'BD Seq Op'!$C:$H,5,FALSE)))</f>
        <v/>
      </c>
      <c r="G70" s="112" t="str">
        <f>IF(D70="","",VLOOKUP(D70,Máquinas!A:C,3,FALSE))</f>
        <v/>
      </c>
      <c r="H70" s="113" t="str">
        <f t="shared" si="1"/>
        <v/>
      </c>
      <c r="I70" s="62">
        <f t="shared" si="2"/>
        <v>0</v>
      </c>
      <c r="J70" s="62">
        <f t="shared" si="3"/>
        <v>0</v>
      </c>
      <c r="K70" s="7"/>
      <c r="L70" s="57"/>
      <c r="M70" s="57"/>
      <c r="N70" s="57"/>
      <c r="O70" s="57"/>
      <c r="P70" s="57"/>
      <c r="Q70" s="57"/>
      <c r="S70" s="57"/>
      <c r="T70" s="57"/>
      <c r="U70" s="57"/>
      <c r="V70" s="57"/>
      <c r="W70" s="57"/>
      <c r="X70" s="57"/>
      <c r="Y70" s="57"/>
      <c r="Z70" s="57"/>
      <c r="AA70" s="57"/>
      <c r="AB70" s="57"/>
      <c r="AC70" s="57"/>
    </row>
    <row r="71" spans="1:29" ht="18" customHeight="1" x14ac:dyDescent="0.25">
      <c r="A71" s="32" t="str">
        <f t="shared" ref="A71:A125" si="5">IF(C71="","Não","Sim")</f>
        <v>Não</v>
      </c>
      <c r="B71" s="106">
        <v>66</v>
      </c>
      <c r="C71" s="111" t="str">
        <f>IF($C$2=0,"",IF(ISERROR(VLOOKUP($C$2&amp;"-"&amp;$B71,'BD Seq Op'!$C:$H,2,FALSE)),"",VLOOKUP($C$2&amp;"-"&amp;$B71,'BD Seq Op'!$C:$H,2,FALSE)))</f>
        <v/>
      </c>
      <c r="D71" s="105" t="str">
        <f>IF($C$2=0,"",IF(ISERROR(VLOOKUP($C$2&amp;"-"&amp;$B71,'BD Seq Op'!$C:$H,3,FALSE)),"",VLOOKUP($C$2&amp;"-"&amp;$B71,'BD Seq Op'!$C:$H,3,FALSE)))</f>
        <v/>
      </c>
      <c r="E71" s="105" t="str">
        <f>IF($C$2=0,"",IF(ISERROR(VLOOKUP($C$2&amp;"-"&amp;$B71,'BD Seq Op'!$C:$H,4,FALSE)),"",VLOOKUP($C$2&amp;"-"&amp;$B71,'BD Seq Op'!$C:$H,4,FALSE)))</f>
        <v/>
      </c>
      <c r="F71" s="62" t="str">
        <f>IF($C$2=0,"",IF(ISERROR(VLOOKUP($C$2&amp;"-"&amp;$B71,'BD Seq Op'!$C:$H,5,FALSE)),"",VLOOKUP($C$2&amp;"-"&amp;$B71,'BD Seq Op'!$C:$H,5,FALSE)))</f>
        <v/>
      </c>
      <c r="G71" s="112" t="str">
        <f>IF(D71="","",VLOOKUP(D71,Máquinas!A:C,3,FALSE))</f>
        <v/>
      </c>
      <c r="H71" s="113" t="str">
        <f t="shared" ref="H71:H124" si="6">IF(F71="","",IF($R$3=1,60/F71,IF($R$3=2,(60*$I$3)/F71,(60*G71)/F71)))</f>
        <v/>
      </c>
      <c r="I71" s="62">
        <f t="shared" ref="I71:I124" si="7">IF(F71="",0,IF($I$2=0,0,IF($J$3=0,0,IF($R$5=2,(F71*$I$1/(($J$3*$I$2)*G71)),IF($I$3=0,0,(F71*$I$1/(($J$3*$I$2)*$I$3)))))))</f>
        <v>0</v>
      </c>
      <c r="J71" s="62">
        <f t="shared" ref="J71:J124" si="8">IF(I71=0,0,I71*$J$3)</f>
        <v>0</v>
      </c>
      <c r="K71" s="7"/>
      <c r="L71" s="57"/>
      <c r="M71" s="57"/>
      <c r="N71" s="57"/>
      <c r="O71" s="57"/>
      <c r="P71" s="57"/>
      <c r="Q71" s="57"/>
      <c r="S71" s="57"/>
      <c r="T71" s="57"/>
      <c r="U71" s="57"/>
      <c r="V71" s="57"/>
      <c r="W71" s="57"/>
      <c r="X71" s="57"/>
      <c r="Y71" s="57"/>
      <c r="Z71" s="57"/>
      <c r="AA71" s="57"/>
      <c r="AB71" s="57"/>
      <c r="AC71" s="57"/>
    </row>
    <row r="72" spans="1:29" ht="18" customHeight="1" x14ac:dyDescent="0.25">
      <c r="A72" s="32" t="str">
        <f t="shared" si="5"/>
        <v>Não</v>
      </c>
      <c r="B72" s="105">
        <v>67</v>
      </c>
      <c r="C72" s="111" t="str">
        <f>IF($C$2=0,"",IF(ISERROR(VLOOKUP($C$2&amp;"-"&amp;$B72,'BD Seq Op'!$C:$H,2,FALSE)),"",VLOOKUP($C$2&amp;"-"&amp;$B72,'BD Seq Op'!$C:$H,2,FALSE)))</f>
        <v/>
      </c>
      <c r="D72" s="105" t="str">
        <f>IF($C$2=0,"",IF(ISERROR(VLOOKUP($C$2&amp;"-"&amp;$B72,'BD Seq Op'!$C:$H,3,FALSE)),"",VLOOKUP($C$2&amp;"-"&amp;$B72,'BD Seq Op'!$C:$H,3,FALSE)))</f>
        <v/>
      </c>
      <c r="E72" s="105" t="str">
        <f>IF($C$2=0,"",IF(ISERROR(VLOOKUP($C$2&amp;"-"&amp;$B72,'BD Seq Op'!$C:$H,4,FALSE)),"",VLOOKUP($C$2&amp;"-"&amp;$B72,'BD Seq Op'!$C:$H,4,FALSE)))</f>
        <v/>
      </c>
      <c r="F72" s="62" t="str">
        <f>IF($C$2=0,"",IF(ISERROR(VLOOKUP($C$2&amp;"-"&amp;$B72,'BD Seq Op'!$C:$H,5,FALSE)),"",VLOOKUP($C$2&amp;"-"&amp;$B72,'BD Seq Op'!$C:$H,5,FALSE)))</f>
        <v/>
      </c>
      <c r="G72" s="112" t="str">
        <f>IF(D72="","",VLOOKUP(D72,Máquinas!A:C,3,FALSE))</f>
        <v/>
      </c>
      <c r="H72" s="113" t="str">
        <f t="shared" si="6"/>
        <v/>
      </c>
      <c r="I72" s="62">
        <f t="shared" si="7"/>
        <v>0</v>
      </c>
      <c r="J72" s="62">
        <f t="shared" si="8"/>
        <v>0</v>
      </c>
      <c r="K72" s="7"/>
      <c r="L72" s="57"/>
      <c r="M72" s="57"/>
      <c r="N72" s="57"/>
      <c r="O72" s="57"/>
      <c r="P72" s="57"/>
      <c r="Q72" s="57"/>
      <c r="S72" s="57"/>
      <c r="T72" s="57"/>
      <c r="U72" s="57"/>
      <c r="V72" s="57"/>
      <c r="W72" s="57"/>
      <c r="X72" s="57"/>
      <c r="Y72" s="57"/>
      <c r="Z72" s="57"/>
      <c r="AA72" s="57"/>
      <c r="AB72" s="57"/>
      <c r="AC72" s="57"/>
    </row>
    <row r="73" spans="1:29" ht="18" customHeight="1" x14ac:dyDescent="0.25">
      <c r="A73" s="32" t="str">
        <f t="shared" si="5"/>
        <v>Não</v>
      </c>
      <c r="B73" s="106">
        <v>68</v>
      </c>
      <c r="C73" s="111" t="str">
        <f>IF($C$2=0,"",IF(ISERROR(VLOOKUP($C$2&amp;"-"&amp;$B73,'BD Seq Op'!$C:$H,2,FALSE)),"",VLOOKUP($C$2&amp;"-"&amp;$B73,'BD Seq Op'!$C:$H,2,FALSE)))</f>
        <v/>
      </c>
      <c r="D73" s="105" t="str">
        <f>IF($C$2=0,"",IF(ISERROR(VLOOKUP($C$2&amp;"-"&amp;$B73,'BD Seq Op'!$C:$H,3,FALSE)),"",VLOOKUP($C$2&amp;"-"&amp;$B73,'BD Seq Op'!$C:$H,3,FALSE)))</f>
        <v/>
      </c>
      <c r="E73" s="105" t="str">
        <f>IF($C$2=0,"",IF(ISERROR(VLOOKUP($C$2&amp;"-"&amp;$B73,'BD Seq Op'!$C:$H,4,FALSE)),"",VLOOKUP($C$2&amp;"-"&amp;$B73,'BD Seq Op'!$C:$H,4,FALSE)))</f>
        <v/>
      </c>
      <c r="F73" s="62" t="str">
        <f>IF($C$2=0,"",IF(ISERROR(VLOOKUP($C$2&amp;"-"&amp;$B73,'BD Seq Op'!$C:$H,5,FALSE)),"",VLOOKUP($C$2&amp;"-"&amp;$B73,'BD Seq Op'!$C:$H,5,FALSE)))</f>
        <v/>
      </c>
      <c r="G73" s="112" t="str">
        <f>IF(D73="","",VLOOKUP(D73,Máquinas!A:C,3,FALSE))</f>
        <v/>
      </c>
      <c r="H73" s="113" t="str">
        <f t="shared" si="6"/>
        <v/>
      </c>
      <c r="I73" s="62">
        <f t="shared" si="7"/>
        <v>0</v>
      </c>
      <c r="J73" s="62">
        <f t="shared" si="8"/>
        <v>0</v>
      </c>
      <c r="K73" s="7"/>
      <c r="L73" s="57"/>
      <c r="M73" s="57"/>
      <c r="N73" s="57"/>
      <c r="O73" s="57"/>
      <c r="P73" s="57"/>
      <c r="Q73" s="57"/>
      <c r="S73" s="57"/>
      <c r="T73" s="57"/>
      <c r="U73" s="57"/>
      <c r="V73" s="57"/>
      <c r="W73" s="57"/>
      <c r="X73" s="57"/>
      <c r="Y73" s="57"/>
      <c r="Z73" s="57"/>
      <c r="AA73" s="57"/>
      <c r="AB73" s="57"/>
      <c r="AC73" s="57"/>
    </row>
    <row r="74" spans="1:29" ht="18" customHeight="1" x14ac:dyDescent="0.25">
      <c r="A74" s="32" t="str">
        <f t="shared" si="5"/>
        <v>Não</v>
      </c>
      <c r="B74" s="105">
        <v>69</v>
      </c>
      <c r="C74" s="111" t="str">
        <f>IF($C$2=0,"",IF(ISERROR(VLOOKUP($C$2&amp;"-"&amp;$B74,'BD Seq Op'!$C:$H,2,FALSE)),"",VLOOKUP($C$2&amp;"-"&amp;$B74,'BD Seq Op'!$C:$H,2,FALSE)))</f>
        <v/>
      </c>
      <c r="D74" s="105" t="str">
        <f>IF($C$2=0,"",IF(ISERROR(VLOOKUP($C$2&amp;"-"&amp;$B74,'BD Seq Op'!$C:$H,3,FALSE)),"",VLOOKUP($C$2&amp;"-"&amp;$B74,'BD Seq Op'!$C:$H,3,FALSE)))</f>
        <v/>
      </c>
      <c r="E74" s="105" t="str">
        <f>IF($C$2=0,"",IF(ISERROR(VLOOKUP($C$2&amp;"-"&amp;$B74,'BD Seq Op'!$C:$H,4,FALSE)),"",VLOOKUP($C$2&amp;"-"&amp;$B74,'BD Seq Op'!$C:$H,4,FALSE)))</f>
        <v/>
      </c>
      <c r="F74" s="62" t="str">
        <f>IF($C$2=0,"",IF(ISERROR(VLOOKUP($C$2&amp;"-"&amp;$B74,'BD Seq Op'!$C:$H,5,FALSE)),"",VLOOKUP($C$2&amp;"-"&amp;$B74,'BD Seq Op'!$C:$H,5,FALSE)))</f>
        <v/>
      </c>
      <c r="G74" s="112" t="str">
        <f>IF(D74="","",VLOOKUP(D74,Máquinas!A:C,3,FALSE))</f>
        <v/>
      </c>
      <c r="H74" s="113" t="str">
        <f t="shared" si="6"/>
        <v/>
      </c>
      <c r="I74" s="62">
        <f t="shared" si="7"/>
        <v>0</v>
      </c>
      <c r="J74" s="62">
        <f t="shared" si="8"/>
        <v>0</v>
      </c>
      <c r="K74" s="7"/>
      <c r="L74" s="57"/>
      <c r="M74" s="57"/>
      <c r="N74" s="57"/>
      <c r="O74" s="57"/>
      <c r="P74" s="57"/>
      <c r="Q74" s="57"/>
      <c r="S74" s="57"/>
      <c r="T74" s="57"/>
      <c r="U74" s="57"/>
      <c r="V74" s="57"/>
      <c r="W74" s="57"/>
      <c r="X74" s="57"/>
      <c r="Y74" s="57"/>
      <c r="Z74" s="57"/>
      <c r="AA74" s="57"/>
      <c r="AB74" s="57"/>
      <c r="AC74" s="57"/>
    </row>
    <row r="75" spans="1:29" ht="18" customHeight="1" x14ac:dyDescent="0.25">
      <c r="A75" s="32" t="str">
        <f t="shared" si="5"/>
        <v>Não</v>
      </c>
      <c r="B75" s="106">
        <v>70</v>
      </c>
      <c r="C75" s="111" t="str">
        <f>IF($C$2=0,"",IF(ISERROR(VLOOKUP($C$2&amp;"-"&amp;$B75,'BD Seq Op'!$C:$H,2,FALSE)),"",VLOOKUP($C$2&amp;"-"&amp;$B75,'BD Seq Op'!$C:$H,2,FALSE)))</f>
        <v/>
      </c>
      <c r="D75" s="105" t="str">
        <f>IF($C$2=0,"",IF(ISERROR(VLOOKUP($C$2&amp;"-"&amp;$B75,'BD Seq Op'!$C:$H,3,FALSE)),"",VLOOKUP($C$2&amp;"-"&amp;$B75,'BD Seq Op'!$C:$H,3,FALSE)))</f>
        <v/>
      </c>
      <c r="E75" s="105" t="str">
        <f>IF($C$2=0,"",IF(ISERROR(VLOOKUP($C$2&amp;"-"&amp;$B75,'BD Seq Op'!$C:$H,4,FALSE)),"",VLOOKUP($C$2&amp;"-"&amp;$B75,'BD Seq Op'!$C:$H,4,FALSE)))</f>
        <v/>
      </c>
      <c r="F75" s="62" t="str">
        <f>IF($C$2=0,"",IF(ISERROR(VLOOKUP($C$2&amp;"-"&amp;$B75,'BD Seq Op'!$C:$H,5,FALSE)),"",VLOOKUP($C$2&amp;"-"&amp;$B75,'BD Seq Op'!$C:$H,5,FALSE)))</f>
        <v/>
      </c>
      <c r="G75" s="112" t="str">
        <f>IF(D75="","",VLOOKUP(D75,Máquinas!A:C,3,FALSE))</f>
        <v/>
      </c>
      <c r="H75" s="113" t="str">
        <f t="shared" si="6"/>
        <v/>
      </c>
      <c r="I75" s="62">
        <f t="shared" si="7"/>
        <v>0</v>
      </c>
      <c r="J75" s="62">
        <f t="shared" si="8"/>
        <v>0</v>
      </c>
      <c r="K75" s="7"/>
      <c r="L75" s="57"/>
      <c r="M75" s="57"/>
      <c r="N75" s="57"/>
      <c r="O75" s="57"/>
      <c r="P75" s="57"/>
      <c r="Q75" s="57"/>
      <c r="S75" s="57"/>
      <c r="T75" s="57"/>
      <c r="U75" s="57"/>
      <c r="V75" s="57"/>
      <c r="W75" s="57"/>
      <c r="X75" s="57"/>
      <c r="Y75" s="57"/>
      <c r="Z75" s="57"/>
      <c r="AA75" s="57"/>
      <c r="AB75" s="57"/>
      <c r="AC75" s="57"/>
    </row>
    <row r="76" spans="1:29" ht="18" customHeight="1" x14ac:dyDescent="0.25">
      <c r="A76" s="32" t="str">
        <f t="shared" si="5"/>
        <v>Não</v>
      </c>
      <c r="B76" s="105">
        <v>71</v>
      </c>
      <c r="C76" s="111" t="str">
        <f>IF($C$2=0,"",IF(ISERROR(VLOOKUP($C$2&amp;"-"&amp;$B76,'BD Seq Op'!$C:$H,2,FALSE)),"",VLOOKUP($C$2&amp;"-"&amp;$B76,'BD Seq Op'!$C:$H,2,FALSE)))</f>
        <v/>
      </c>
      <c r="D76" s="105" t="str">
        <f>IF($C$2=0,"",IF(ISERROR(VLOOKUP($C$2&amp;"-"&amp;$B76,'BD Seq Op'!$C:$H,3,FALSE)),"",VLOOKUP($C$2&amp;"-"&amp;$B76,'BD Seq Op'!$C:$H,3,FALSE)))</f>
        <v/>
      </c>
      <c r="E76" s="105" t="str">
        <f>IF($C$2=0,"",IF(ISERROR(VLOOKUP($C$2&amp;"-"&amp;$B76,'BD Seq Op'!$C:$H,4,FALSE)),"",VLOOKUP($C$2&amp;"-"&amp;$B76,'BD Seq Op'!$C:$H,4,FALSE)))</f>
        <v/>
      </c>
      <c r="F76" s="62" t="str">
        <f>IF($C$2=0,"",IF(ISERROR(VLOOKUP($C$2&amp;"-"&amp;$B76,'BD Seq Op'!$C:$H,5,FALSE)),"",VLOOKUP($C$2&amp;"-"&amp;$B76,'BD Seq Op'!$C:$H,5,FALSE)))</f>
        <v/>
      </c>
      <c r="G76" s="112" t="str">
        <f>IF(D76="","",VLOOKUP(D76,Máquinas!A:C,3,FALSE))</f>
        <v/>
      </c>
      <c r="H76" s="113" t="str">
        <f t="shared" si="6"/>
        <v/>
      </c>
      <c r="I76" s="62">
        <f t="shared" si="7"/>
        <v>0</v>
      </c>
      <c r="J76" s="62">
        <f t="shared" si="8"/>
        <v>0</v>
      </c>
      <c r="K76" s="7"/>
      <c r="L76" s="57"/>
      <c r="M76" s="57"/>
      <c r="N76" s="57"/>
      <c r="O76" s="57"/>
      <c r="P76" s="57"/>
      <c r="Q76" s="57"/>
      <c r="S76" s="57"/>
      <c r="T76" s="57"/>
      <c r="U76" s="57"/>
      <c r="V76" s="57"/>
      <c r="W76" s="57"/>
      <c r="X76" s="57"/>
      <c r="Y76" s="57"/>
      <c r="Z76" s="57"/>
      <c r="AA76" s="57"/>
      <c r="AB76" s="57"/>
      <c r="AC76" s="57"/>
    </row>
    <row r="77" spans="1:29" ht="18" customHeight="1" x14ac:dyDescent="0.25">
      <c r="A77" s="32" t="str">
        <f t="shared" si="5"/>
        <v>Não</v>
      </c>
      <c r="B77" s="106">
        <v>72</v>
      </c>
      <c r="C77" s="111" t="str">
        <f>IF($C$2=0,"",IF(ISERROR(VLOOKUP($C$2&amp;"-"&amp;$B77,'BD Seq Op'!$C:$H,2,FALSE)),"",VLOOKUP($C$2&amp;"-"&amp;$B77,'BD Seq Op'!$C:$H,2,FALSE)))</f>
        <v/>
      </c>
      <c r="D77" s="105" t="str">
        <f>IF($C$2=0,"",IF(ISERROR(VLOOKUP($C$2&amp;"-"&amp;$B77,'BD Seq Op'!$C:$H,3,FALSE)),"",VLOOKUP($C$2&amp;"-"&amp;$B77,'BD Seq Op'!$C:$H,3,FALSE)))</f>
        <v/>
      </c>
      <c r="E77" s="105" t="str">
        <f>IF($C$2=0,"",IF(ISERROR(VLOOKUP($C$2&amp;"-"&amp;$B77,'BD Seq Op'!$C:$H,4,FALSE)),"",VLOOKUP($C$2&amp;"-"&amp;$B77,'BD Seq Op'!$C:$H,4,FALSE)))</f>
        <v/>
      </c>
      <c r="F77" s="62" t="str">
        <f>IF($C$2=0,"",IF(ISERROR(VLOOKUP($C$2&amp;"-"&amp;$B77,'BD Seq Op'!$C:$H,5,FALSE)),"",VLOOKUP($C$2&amp;"-"&amp;$B77,'BD Seq Op'!$C:$H,5,FALSE)))</f>
        <v/>
      </c>
      <c r="G77" s="112" t="str">
        <f>IF(D77="","",VLOOKUP(D77,Máquinas!A:C,3,FALSE))</f>
        <v/>
      </c>
      <c r="H77" s="113" t="str">
        <f t="shared" si="6"/>
        <v/>
      </c>
      <c r="I77" s="62">
        <f t="shared" si="7"/>
        <v>0</v>
      </c>
      <c r="J77" s="62">
        <f t="shared" si="8"/>
        <v>0</v>
      </c>
      <c r="K77" s="7"/>
      <c r="L77" s="57"/>
      <c r="M77" s="57"/>
      <c r="N77" s="57"/>
      <c r="O77" s="57"/>
      <c r="P77" s="57"/>
      <c r="Q77" s="57"/>
      <c r="S77" s="57"/>
      <c r="T77" s="57"/>
      <c r="U77" s="57"/>
      <c r="V77" s="57"/>
      <c r="W77" s="57"/>
      <c r="X77" s="57"/>
      <c r="Y77" s="57"/>
      <c r="Z77" s="57"/>
      <c r="AA77" s="57"/>
      <c r="AB77" s="57"/>
      <c r="AC77" s="57"/>
    </row>
    <row r="78" spans="1:29" ht="18" customHeight="1" x14ac:dyDescent="0.25">
      <c r="A78" s="32" t="str">
        <f t="shared" si="5"/>
        <v>Não</v>
      </c>
      <c r="B78" s="105">
        <v>73</v>
      </c>
      <c r="C78" s="111" t="str">
        <f>IF($C$2=0,"",IF(ISERROR(VLOOKUP($C$2&amp;"-"&amp;$B78,'BD Seq Op'!$C:$H,2,FALSE)),"",VLOOKUP($C$2&amp;"-"&amp;$B78,'BD Seq Op'!$C:$H,2,FALSE)))</f>
        <v/>
      </c>
      <c r="D78" s="105" t="str">
        <f>IF($C$2=0,"",IF(ISERROR(VLOOKUP($C$2&amp;"-"&amp;$B78,'BD Seq Op'!$C:$H,3,FALSE)),"",VLOOKUP($C$2&amp;"-"&amp;$B78,'BD Seq Op'!$C:$H,3,FALSE)))</f>
        <v/>
      </c>
      <c r="E78" s="105" t="str">
        <f>IF($C$2=0,"",IF(ISERROR(VLOOKUP($C$2&amp;"-"&amp;$B78,'BD Seq Op'!$C:$H,4,FALSE)),"",VLOOKUP($C$2&amp;"-"&amp;$B78,'BD Seq Op'!$C:$H,4,FALSE)))</f>
        <v/>
      </c>
      <c r="F78" s="62" t="str">
        <f>IF($C$2=0,"",IF(ISERROR(VLOOKUP($C$2&amp;"-"&amp;$B78,'BD Seq Op'!$C:$H,5,FALSE)),"",VLOOKUP($C$2&amp;"-"&amp;$B78,'BD Seq Op'!$C:$H,5,FALSE)))</f>
        <v/>
      </c>
      <c r="G78" s="112" t="str">
        <f>IF(D78="","",VLOOKUP(D78,Máquinas!A:C,3,FALSE))</f>
        <v/>
      </c>
      <c r="H78" s="113" t="str">
        <f t="shared" si="6"/>
        <v/>
      </c>
      <c r="I78" s="62">
        <f t="shared" si="7"/>
        <v>0</v>
      </c>
      <c r="J78" s="62">
        <f t="shared" si="8"/>
        <v>0</v>
      </c>
      <c r="K78" s="7"/>
      <c r="L78" s="57"/>
      <c r="M78" s="57"/>
      <c r="N78" s="57"/>
      <c r="O78" s="57"/>
      <c r="P78" s="57"/>
      <c r="Q78" s="57"/>
      <c r="S78" s="57"/>
      <c r="T78" s="57"/>
      <c r="U78" s="57"/>
      <c r="V78" s="57"/>
      <c r="W78" s="57"/>
      <c r="X78" s="57"/>
      <c r="Y78" s="57"/>
      <c r="Z78" s="57"/>
      <c r="AA78" s="57"/>
      <c r="AB78" s="57"/>
      <c r="AC78" s="57"/>
    </row>
    <row r="79" spans="1:29" ht="18" customHeight="1" x14ac:dyDescent="0.25">
      <c r="A79" s="32" t="str">
        <f t="shared" si="5"/>
        <v>Não</v>
      </c>
      <c r="B79" s="106">
        <v>74</v>
      </c>
      <c r="C79" s="111" t="str">
        <f>IF($C$2=0,"",IF(ISERROR(VLOOKUP($C$2&amp;"-"&amp;$B79,'BD Seq Op'!$C:$H,2,FALSE)),"",VLOOKUP($C$2&amp;"-"&amp;$B79,'BD Seq Op'!$C:$H,2,FALSE)))</f>
        <v/>
      </c>
      <c r="D79" s="105" t="str">
        <f>IF($C$2=0,"",IF(ISERROR(VLOOKUP($C$2&amp;"-"&amp;$B79,'BD Seq Op'!$C:$H,3,FALSE)),"",VLOOKUP($C$2&amp;"-"&amp;$B79,'BD Seq Op'!$C:$H,3,FALSE)))</f>
        <v/>
      </c>
      <c r="E79" s="105" t="str">
        <f>IF($C$2=0,"",IF(ISERROR(VLOOKUP($C$2&amp;"-"&amp;$B79,'BD Seq Op'!$C:$H,4,FALSE)),"",VLOOKUP($C$2&amp;"-"&amp;$B79,'BD Seq Op'!$C:$H,4,FALSE)))</f>
        <v/>
      </c>
      <c r="F79" s="62" t="str">
        <f>IF($C$2=0,"",IF(ISERROR(VLOOKUP($C$2&amp;"-"&amp;$B79,'BD Seq Op'!$C:$H,5,FALSE)),"",VLOOKUP($C$2&amp;"-"&amp;$B79,'BD Seq Op'!$C:$H,5,FALSE)))</f>
        <v/>
      </c>
      <c r="G79" s="112" t="str">
        <f>IF(D79="","",VLOOKUP(D79,Máquinas!A:C,3,FALSE))</f>
        <v/>
      </c>
      <c r="H79" s="113" t="str">
        <f t="shared" si="6"/>
        <v/>
      </c>
      <c r="I79" s="62">
        <f t="shared" si="7"/>
        <v>0</v>
      </c>
      <c r="J79" s="62">
        <f t="shared" si="8"/>
        <v>0</v>
      </c>
      <c r="K79" s="7"/>
      <c r="L79" s="57"/>
      <c r="M79" s="57"/>
      <c r="N79" s="57"/>
      <c r="O79" s="57"/>
      <c r="P79" s="57"/>
      <c r="Q79" s="57"/>
      <c r="S79" s="57"/>
      <c r="T79" s="57"/>
      <c r="U79" s="57"/>
      <c r="V79" s="57"/>
      <c r="W79" s="57"/>
      <c r="X79" s="57"/>
      <c r="Y79" s="57"/>
      <c r="Z79" s="57"/>
      <c r="AA79" s="57"/>
      <c r="AB79" s="57"/>
      <c r="AC79" s="57"/>
    </row>
    <row r="80" spans="1:29" ht="18" customHeight="1" x14ac:dyDescent="0.25">
      <c r="A80" s="32" t="str">
        <f t="shared" si="5"/>
        <v>Não</v>
      </c>
      <c r="B80" s="105">
        <v>75</v>
      </c>
      <c r="C80" s="111" t="str">
        <f>IF($C$2=0,"",IF(ISERROR(VLOOKUP($C$2&amp;"-"&amp;$B80,'BD Seq Op'!$C:$H,2,FALSE)),"",VLOOKUP($C$2&amp;"-"&amp;$B80,'BD Seq Op'!$C:$H,2,FALSE)))</f>
        <v/>
      </c>
      <c r="D80" s="105" t="str">
        <f>IF($C$2=0,"",IF(ISERROR(VLOOKUP($C$2&amp;"-"&amp;$B80,'BD Seq Op'!$C:$H,3,FALSE)),"",VLOOKUP($C$2&amp;"-"&amp;$B80,'BD Seq Op'!$C:$H,3,FALSE)))</f>
        <v/>
      </c>
      <c r="E80" s="105" t="str">
        <f>IF($C$2=0,"",IF(ISERROR(VLOOKUP($C$2&amp;"-"&amp;$B80,'BD Seq Op'!$C:$H,4,FALSE)),"",VLOOKUP($C$2&amp;"-"&amp;$B80,'BD Seq Op'!$C:$H,4,FALSE)))</f>
        <v/>
      </c>
      <c r="F80" s="62" t="str">
        <f>IF($C$2=0,"",IF(ISERROR(VLOOKUP($C$2&amp;"-"&amp;$B80,'BD Seq Op'!$C:$H,5,FALSE)),"",VLOOKUP($C$2&amp;"-"&amp;$B80,'BD Seq Op'!$C:$H,5,FALSE)))</f>
        <v/>
      </c>
      <c r="G80" s="112" t="str">
        <f>IF(D80="","",VLOOKUP(D80,Máquinas!A:C,3,FALSE))</f>
        <v/>
      </c>
      <c r="H80" s="113" t="str">
        <f t="shared" si="6"/>
        <v/>
      </c>
      <c r="I80" s="62">
        <f t="shared" si="7"/>
        <v>0</v>
      </c>
      <c r="J80" s="62">
        <f t="shared" si="8"/>
        <v>0</v>
      </c>
      <c r="K80" s="7"/>
      <c r="L80" s="57"/>
      <c r="M80" s="57"/>
      <c r="N80" s="57"/>
      <c r="O80" s="57"/>
      <c r="P80" s="57"/>
      <c r="Q80" s="57"/>
      <c r="S80" s="57"/>
      <c r="T80" s="57"/>
      <c r="U80" s="57"/>
      <c r="V80" s="57"/>
      <c r="W80" s="57"/>
      <c r="X80" s="57"/>
      <c r="Y80" s="57"/>
      <c r="Z80" s="57"/>
      <c r="AA80" s="57"/>
      <c r="AB80" s="57"/>
      <c r="AC80" s="57"/>
    </row>
    <row r="81" spans="1:29" ht="18" customHeight="1" x14ac:dyDescent="0.25">
      <c r="A81" s="32" t="str">
        <f t="shared" si="5"/>
        <v>Não</v>
      </c>
      <c r="B81" s="106">
        <v>76</v>
      </c>
      <c r="C81" s="111" t="str">
        <f>IF($C$2=0,"",IF(ISERROR(VLOOKUP($C$2&amp;"-"&amp;$B81,'BD Seq Op'!$C:$H,2,FALSE)),"",VLOOKUP($C$2&amp;"-"&amp;$B81,'BD Seq Op'!$C:$H,2,FALSE)))</f>
        <v/>
      </c>
      <c r="D81" s="105" t="str">
        <f>IF($C$2=0,"",IF(ISERROR(VLOOKUP($C$2&amp;"-"&amp;$B81,'BD Seq Op'!$C:$H,3,FALSE)),"",VLOOKUP($C$2&amp;"-"&amp;$B81,'BD Seq Op'!$C:$H,3,FALSE)))</f>
        <v/>
      </c>
      <c r="E81" s="105" t="str">
        <f>IF($C$2=0,"",IF(ISERROR(VLOOKUP($C$2&amp;"-"&amp;$B81,'BD Seq Op'!$C:$H,4,FALSE)),"",VLOOKUP($C$2&amp;"-"&amp;$B81,'BD Seq Op'!$C:$H,4,FALSE)))</f>
        <v/>
      </c>
      <c r="F81" s="62" t="str">
        <f>IF($C$2=0,"",IF(ISERROR(VLOOKUP($C$2&amp;"-"&amp;$B81,'BD Seq Op'!$C:$H,5,FALSE)),"",VLOOKUP($C$2&amp;"-"&amp;$B81,'BD Seq Op'!$C:$H,5,FALSE)))</f>
        <v/>
      </c>
      <c r="G81" s="112" t="str">
        <f>IF(D81="","",VLOOKUP(D81,Máquinas!A:C,3,FALSE))</f>
        <v/>
      </c>
      <c r="H81" s="113" t="str">
        <f t="shared" si="6"/>
        <v/>
      </c>
      <c r="I81" s="62">
        <f t="shared" si="7"/>
        <v>0</v>
      </c>
      <c r="J81" s="62">
        <f t="shared" si="8"/>
        <v>0</v>
      </c>
      <c r="K81" s="7"/>
      <c r="L81" s="57"/>
      <c r="M81" s="57"/>
      <c r="N81" s="57"/>
      <c r="O81" s="57"/>
      <c r="P81" s="57"/>
      <c r="Q81" s="57"/>
      <c r="S81" s="57"/>
      <c r="T81" s="57"/>
      <c r="U81" s="57"/>
      <c r="V81" s="57"/>
      <c r="W81" s="57"/>
      <c r="X81" s="57"/>
      <c r="Y81" s="57"/>
      <c r="Z81" s="57"/>
      <c r="AA81" s="57"/>
      <c r="AB81" s="57"/>
      <c r="AC81" s="57"/>
    </row>
    <row r="82" spans="1:29" ht="18" customHeight="1" x14ac:dyDescent="0.25">
      <c r="A82" s="32" t="str">
        <f t="shared" si="5"/>
        <v>Não</v>
      </c>
      <c r="B82" s="105">
        <v>77</v>
      </c>
      <c r="C82" s="111" t="str">
        <f>IF($C$2=0,"",IF(ISERROR(VLOOKUP($C$2&amp;"-"&amp;$B82,'BD Seq Op'!$C:$H,2,FALSE)),"",VLOOKUP($C$2&amp;"-"&amp;$B82,'BD Seq Op'!$C:$H,2,FALSE)))</f>
        <v/>
      </c>
      <c r="D82" s="105" t="str">
        <f>IF($C$2=0,"",IF(ISERROR(VLOOKUP($C$2&amp;"-"&amp;$B82,'BD Seq Op'!$C:$H,3,FALSE)),"",VLOOKUP($C$2&amp;"-"&amp;$B82,'BD Seq Op'!$C:$H,3,FALSE)))</f>
        <v/>
      </c>
      <c r="E82" s="105" t="str">
        <f>IF($C$2=0,"",IF(ISERROR(VLOOKUP($C$2&amp;"-"&amp;$B82,'BD Seq Op'!$C:$H,4,FALSE)),"",VLOOKUP($C$2&amp;"-"&amp;$B82,'BD Seq Op'!$C:$H,4,FALSE)))</f>
        <v/>
      </c>
      <c r="F82" s="62" t="str">
        <f>IF($C$2=0,"",IF(ISERROR(VLOOKUP($C$2&amp;"-"&amp;$B82,'BD Seq Op'!$C:$H,5,FALSE)),"",VLOOKUP($C$2&amp;"-"&amp;$B82,'BD Seq Op'!$C:$H,5,FALSE)))</f>
        <v/>
      </c>
      <c r="G82" s="112" t="str">
        <f>IF(D82="","",VLOOKUP(D82,Máquinas!A:C,3,FALSE))</f>
        <v/>
      </c>
      <c r="H82" s="113" t="str">
        <f t="shared" si="6"/>
        <v/>
      </c>
      <c r="I82" s="62">
        <f t="shared" si="7"/>
        <v>0</v>
      </c>
      <c r="J82" s="62">
        <f t="shared" si="8"/>
        <v>0</v>
      </c>
      <c r="K82" s="7"/>
      <c r="L82" s="57"/>
      <c r="M82" s="57"/>
      <c r="N82" s="57"/>
      <c r="O82" s="57"/>
      <c r="P82" s="57"/>
      <c r="Q82" s="57"/>
      <c r="S82" s="57"/>
      <c r="T82" s="57"/>
      <c r="U82" s="57"/>
      <c r="V82" s="57"/>
      <c r="W82" s="57"/>
      <c r="X82" s="57"/>
      <c r="Y82" s="57"/>
      <c r="Z82" s="57"/>
      <c r="AA82" s="57"/>
      <c r="AB82" s="57"/>
      <c r="AC82" s="57"/>
    </row>
    <row r="83" spans="1:29" ht="18" customHeight="1" x14ac:dyDescent="0.25">
      <c r="A83" s="32" t="str">
        <f t="shared" si="5"/>
        <v>Não</v>
      </c>
      <c r="B83" s="106">
        <v>78</v>
      </c>
      <c r="C83" s="111" t="str">
        <f>IF($C$2=0,"",IF(ISERROR(VLOOKUP($C$2&amp;"-"&amp;$B83,'BD Seq Op'!$C:$H,2,FALSE)),"",VLOOKUP($C$2&amp;"-"&amp;$B83,'BD Seq Op'!$C:$H,2,FALSE)))</f>
        <v/>
      </c>
      <c r="D83" s="105" t="str">
        <f>IF($C$2=0,"",IF(ISERROR(VLOOKUP($C$2&amp;"-"&amp;$B83,'BD Seq Op'!$C:$H,3,FALSE)),"",VLOOKUP($C$2&amp;"-"&amp;$B83,'BD Seq Op'!$C:$H,3,FALSE)))</f>
        <v/>
      </c>
      <c r="E83" s="105" t="str">
        <f>IF($C$2=0,"",IF(ISERROR(VLOOKUP($C$2&amp;"-"&amp;$B83,'BD Seq Op'!$C:$H,4,FALSE)),"",VLOOKUP($C$2&amp;"-"&amp;$B83,'BD Seq Op'!$C:$H,4,FALSE)))</f>
        <v/>
      </c>
      <c r="F83" s="62" t="str">
        <f>IF($C$2=0,"",IF(ISERROR(VLOOKUP($C$2&amp;"-"&amp;$B83,'BD Seq Op'!$C:$H,5,FALSE)),"",VLOOKUP($C$2&amp;"-"&amp;$B83,'BD Seq Op'!$C:$H,5,FALSE)))</f>
        <v/>
      </c>
      <c r="G83" s="112" t="str">
        <f>IF(D83="","",VLOOKUP(D83,Máquinas!A:C,3,FALSE))</f>
        <v/>
      </c>
      <c r="H83" s="113" t="str">
        <f t="shared" si="6"/>
        <v/>
      </c>
      <c r="I83" s="62">
        <f t="shared" si="7"/>
        <v>0</v>
      </c>
      <c r="J83" s="62">
        <f t="shared" si="8"/>
        <v>0</v>
      </c>
      <c r="K83" s="7"/>
      <c r="L83" s="57"/>
      <c r="M83" s="57"/>
      <c r="N83" s="57"/>
      <c r="O83" s="57"/>
      <c r="P83" s="57"/>
      <c r="Q83" s="57"/>
      <c r="S83" s="57"/>
      <c r="T83" s="57"/>
      <c r="U83" s="57"/>
      <c r="V83" s="57"/>
      <c r="W83" s="57"/>
      <c r="X83" s="57"/>
      <c r="Y83" s="57"/>
      <c r="Z83" s="57"/>
      <c r="AA83" s="57"/>
      <c r="AB83" s="57"/>
      <c r="AC83" s="57"/>
    </row>
    <row r="84" spans="1:29" ht="18" customHeight="1" x14ac:dyDescent="0.25">
      <c r="A84" s="32" t="str">
        <f t="shared" si="5"/>
        <v>Não</v>
      </c>
      <c r="B84" s="105">
        <v>79</v>
      </c>
      <c r="C84" s="111" t="str">
        <f>IF($C$2=0,"",IF(ISERROR(VLOOKUP($C$2&amp;"-"&amp;$B84,'BD Seq Op'!$C:$H,2,FALSE)),"",VLOOKUP($C$2&amp;"-"&amp;$B84,'BD Seq Op'!$C:$H,2,FALSE)))</f>
        <v/>
      </c>
      <c r="D84" s="105" t="str">
        <f>IF($C$2=0,"",IF(ISERROR(VLOOKUP($C$2&amp;"-"&amp;$B84,'BD Seq Op'!$C:$H,3,FALSE)),"",VLOOKUP($C$2&amp;"-"&amp;$B84,'BD Seq Op'!$C:$H,3,FALSE)))</f>
        <v/>
      </c>
      <c r="E84" s="105" t="str">
        <f>IF($C$2=0,"",IF(ISERROR(VLOOKUP($C$2&amp;"-"&amp;$B84,'BD Seq Op'!$C:$H,4,FALSE)),"",VLOOKUP($C$2&amp;"-"&amp;$B84,'BD Seq Op'!$C:$H,4,FALSE)))</f>
        <v/>
      </c>
      <c r="F84" s="62" t="str">
        <f>IF($C$2=0,"",IF(ISERROR(VLOOKUP($C$2&amp;"-"&amp;$B84,'BD Seq Op'!$C:$H,5,FALSE)),"",VLOOKUP($C$2&amp;"-"&amp;$B84,'BD Seq Op'!$C:$H,5,FALSE)))</f>
        <v/>
      </c>
      <c r="G84" s="112" t="str">
        <f>IF(D84="","",VLOOKUP(D84,Máquinas!A:C,3,FALSE))</f>
        <v/>
      </c>
      <c r="H84" s="113" t="str">
        <f t="shared" si="6"/>
        <v/>
      </c>
      <c r="I84" s="62">
        <f t="shared" si="7"/>
        <v>0</v>
      </c>
      <c r="J84" s="62">
        <f t="shared" si="8"/>
        <v>0</v>
      </c>
      <c r="K84" s="7"/>
      <c r="L84" s="57"/>
      <c r="M84" s="57"/>
      <c r="N84" s="57"/>
      <c r="O84" s="57"/>
      <c r="P84" s="57"/>
      <c r="Q84" s="57"/>
      <c r="S84" s="57"/>
      <c r="T84" s="57"/>
      <c r="U84" s="57"/>
      <c r="V84" s="57"/>
      <c r="W84" s="57"/>
      <c r="X84" s="57"/>
      <c r="Y84" s="57"/>
      <c r="Z84" s="57"/>
      <c r="AA84" s="57"/>
      <c r="AB84" s="57"/>
      <c r="AC84" s="57"/>
    </row>
    <row r="85" spans="1:29" ht="18" customHeight="1" x14ac:dyDescent="0.25">
      <c r="A85" s="32" t="str">
        <f t="shared" si="5"/>
        <v>Não</v>
      </c>
      <c r="B85" s="106">
        <v>80</v>
      </c>
      <c r="C85" s="111" t="str">
        <f>IF($C$2=0,"",IF(ISERROR(VLOOKUP($C$2&amp;"-"&amp;$B85,'BD Seq Op'!$C:$H,2,FALSE)),"",VLOOKUP($C$2&amp;"-"&amp;$B85,'BD Seq Op'!$C:$H,2,FALSE)))</f>
        <v/>
      </c>
      <c r="D85" s="105" t="str">
        <f>IF($C$2=0,"",IF(ISERROR(VLOOKUP($C$2&amp;"-"&amp;$B85,'BD Seq Op'!$C:$H,3,FALSE)),"",VLOOKUP($C$2&amp;"-"&amp;$B85,'BD Seq Op'!$C:$H,3,FALSE)))</f>
        <v/>
      </c>
      <c r="E85" s="105" t="str">
        <f>IF($C$2=0,"",IF(ISERROR(VLOOKUP($C$2&amp;"-"&amp;$B85,'BD Seq Op'!$C:$H,4,FALSE)),"",VLOOKUP($C$2&amp;"-"&amp;$B85,'BD Seq Op'!$C:$H,4,FALSE)))</f>
        <v/>
      </c>
      <c r="F85" s="62" t="str">
        <f>IF($C$2=0,"",IF(ISERROR(VLOOKUP($C$2&amp;"-"&amp;$B85,'BD Seq Op'!$C:$H,5,FALSE)),"",VLOOKUP($C$2&amp;"-"&amp;$B85,'BD Seq Op'!$C:$H,5,FALSE)))</f>
        <v/>
      </c>
      <c r="G85" s="112" t="str">
        <f>IF(D85="","",VLOOKUP(D85,Máquinas!A:C,3,FALSE))</f>
        <v/>
      </c>
      <c r="H85" s="113" t="str">
        <f t="shared" si="6"/>
        <v/>
      </c>
      <c r="I85" s="62">
        <f t="shared" si="7"/>
        <v>0</v>
      </c>
      <c r="J85" s="62">
        <f t="shared" si="8"/>
        <v>0</v>
      </c>
      <c r="K85" s="7"/>
      <c r="L85" s="57"/>
      <c r="M85" s="57"/>
      <c r="N85" s="57"/>
      <c r="O85" s="57"/>
      <c r="P85" s="57"/>
      <c r="Q85" s="57"/>
      <c r="S85" s="57"/>
      <c r="T85" s="57"/>
      <c r="U85" s="57"/>
      <c r="V85" s="57"/>
      <c r="W85" s="57"/>
      <c r="X85" s="57"/>
      <c r="Y85" s="57"/>
      <c r="Z85" s="57"/>
      <c r="AA85" s="57"/>
      <c r="AB85" s="57"/>
      <c r="AC85" s="57"/>
    </row>
    <row r="86" spans="1:29" ht="18" customHeight="1" x14ac:dyDescent="0.25">
      <c r="A86" s="32" t="str">
        <f t="shared" si="5"/>
        <v>Não</v>
      </c>
      <c r="B86" s="105">
        <v>81</v>
      </c>
      <c r="C86" s="111" t="str">
        <f>IF($C$2=0,"",IF(ISERROR(VLOOKUP($C$2&amp;"-"&amp;$B86,'BD Seq Op'!$C:$H,2,FALSE)),"",VLOOKUP($C$2&amp;"-"&amp;$B86,'BD Seq Op'!$C:$H,2,FALSE)))</f>
        <v/>
      </c>
      <c r="D86" s="105" t="str">
        <f>IF($C$2=0,"",IF(ISERROR(VLOOKUP($C$2&amp;"-"&amp;$B86,'BD Seq Op'!$C:$H,3,FALSE)),"",VLOOKUP($C$2&amp;"-"&amp;$B86,'BD Seq Op'!$C:$H,3,FALSE)))</f>
        <v/>
      </c>
      <c r="E86" s="105" t="str">
        <f>IF($C$2=0,"",IF(ISERROR(VLOOKUP($C$2&amp;"-"&amp;$B86,'BD Seq Op'!$C:$H,4,FALSE)),"",VLOOKUP($C$2&amp;"-"&amp;$B86,'BD Seq Op'!$C:$H,4,FALSE)))</f>
        <v/>
      </c>
      <c r="F86" s="62" t="str">
        <f>IF($C$2=0,"",IF(ISERROR(VLOOKUP($C$2&amp;"-"&amp;$B86,'BD Seq Op'!$C:$H,5,FALSE)),"",VLOOKUP($C$2&amp;"-"&amp;$B86,'BD Seq Op'!$C:$H,5,FALSE)))</f>
        <v/>
      </c>
      <c r="G86" s="112" t="str">
        <f>IF(D86="","",VLOOKUP(D86,Máquinas!A:C,3,FALSE))</f>
        <v/>
      </c>
      <c r="H86" s="113" t="str">
        <f t="shared" si="6"/>
        <v/>
      </c>
      <c r="I86" s="62">
        <f t="shared" si="7"/>
        <v>0</v>
      </c>
      <c r="J86" s="62">
        <f t="shared" si="8"/>
        <v>0</v>
      </c>
      <c r="K86" s="7"/>
      <c r="L86" s="57"/>
      <c r="M86" s="57"/>
      <c r="N86" s="57"/>
      <c r="O86" s="57"/>
      <c r="P86" s="57"/>
      <c r="Q86" s="57"/>
      <c r="S86" s="57"/>
      <c r="T86" s="57"/>
      <c r="U86" s="57"/>
      <c r="V86" s="57"/>
      <c r="W86" s="57"/>
      <c r="X86" s="57"/>
      <c r="Y86" s="57"/>
      <c r="Z86" s="57"/>
      <c r="AA86" s="57"/>
      <c r="AB86" s="57"/>
      <c r="AC86" s="57"/>
    </row>
    <row r="87" spans="1:29" ht="18" customHeight="1" x14ac:dyDescent="0.25">
      <c r="A87" s="32" t="str">
        <f t="shared" si="5"/>
        <v>Não</v>
      </c>
      <c r="B87" s="106">
        <v>82</v>
      </c>
      <c r="C87" s="111" t="str">
        <f>IF($C$2=0,"",IF(ISERROR(VLOOKUP($C$2&amp;"-"&amp;$B87,'BD Seq Op'!$C:$H,2,FALSE)),"",VLOOKUP($C$2&amp;"-"&amp;$B87,'BD Seq Op'!$C:$H,2,FALSE)))</f>
        <v/>
      </c>
      <c r="D87" s="105" t="str">
        <f>IF($C$2=0,"",IF(ISERROR(VLOOKUP($C$2&amp;"-"&amp;$B87,'BD Seq Op'!$C:$H,3,FALSE)),"",VLOOKUP($C$2&amp;"-"&amp;$B87,'BD Seq Op'!$C:$H,3,FALSE)))</f>
        <v/>
      </c>
      <c r="E87" s="105" t="str">
        <f>IF($C$2=0,"",IF(ISERROR(VLOOKUP($C$2&amp;"-"&amp;$B87,'BD Seq Op'!$C:$H,4,FALSE)),"",VLOOKUP($C$2&amp;"-"&amp;$B87,'BD Seq Op'!$C:$H,4,FALSE)))</f>
        <v/>
      </c>
      <c r="F87" s="62" t="str">
        <f>IF($C$2=0,"",IF(ISERROR(VLOOKUP($C$2&amp;"-"&amp;$B87,'BD Seq Op'!$C:$H,5,FALSE)),"",VLOOKUP($C$2&amp;"-"&amp;$B87,'BD Seq Op'!$C:$H,5,FALSE)))</f>
        <v/>
      </c>
      <c r="G87" s="112" t="str">
        <f>IF(D87="","",VLOOKUP(D87,Máquinas!A:C,3,FALSE))</f>
        <v/>
      </c>
      <c r="H87" s="113" t="str">
        <f t="shared" si="6"/>
        <v/>
      </c>
      <c r="I87" s="62">
        <f t="shared" si="7"/>
        <v>0</v>
      </c>
      <c r="J87" s="62">
        <f t="shared" si="8"/>
        <v>0</v>
      </c>
      <c r="K87" s="7"/>
      <c r="L87" s="57"/>
      <c r="M87" s="57"/>
      <c r="N87" s="57"/>
      <c r="O87" s="57"/>
      <c r="P87" s="57"/>
      <c r="Q87" s="57"/>
      <c r="S87" s="57"/>
      <c r="T87" s="57"/>
      <c r="U87" s="57"/>
      <c r="V87" s="57"/>
      <c r="W87" s="57"/>
      <c r="X87" s="57"/>
      <c r="Y87" s="57"/>
      <c r="Z87" s="57"/>
      <c r="AA87" s="57"/>
      <c r="AB87" s="57"/>
      <c r="AC87" s="57"/>
    </row>
    <row r="88" spans="1:29" ht="18" customHeight="1" x14ac:dyDescent="0.25">
      <c r="A88" s="32" t="str">
        <f t="shared" si="5"/>
        <v>Não</v>
      </c>
      <c r="B88" s="105">
        <v>83</v>
      </c>
      <c r="C88" s="111" t="str">
        <f>IF($C$2=0,"",IF(ISERROR(VLOOKUP($C$2&amp;"-"&amp;$B88,'BD Seq Op'!$C:$H,2,FALSE)),"",VLOOKUP($C$2&amp;"-"&amp;$B88,'BD Seq Op'!$C:$H,2,FALSE)))</f>
        <v/>
      </c>
      <c r="D88" s="105" t="str">
        <f>IF($C$2=0,"",IF(ISERROR(VLOOKUP($C$2&amp;"-"&amp;$B88,'BD Seq Op'!$C:$H,3,FALSE)),"",VLOOKUP($C$2&amp;"-"&amp;$B88,'BD Seq Op'!$C:$H,3,FALSE)))</f>
        <v/>
      </c>
      <c r="E88" s="105" t="str">
        <f>IF($C$2=0,"",IF(ISERROR(VLOOKUP($C$2&amp;"-"&amp;$B88,'BD Seq Op'!$C:$H,4,FALSE)),"",VLOOKUP($C$2&amp;"-"&amp;$B88,'BD Seq Op'!$C:$H,4,FALSE)))</f>
        <v/>
      </c>
      <c r="F88" s="62" t="str">
        <f>IF($C$2=0,"",IF(ISERROR(VLOOKUP($C$2&amp;"-"&amp;$B88,'BD Seq Op'!$C:$H,5,FALSE)),"",VLOOKUP($C$2&amp;"-"&amp;$B88,'BD Seq Op'!$C:$H,5,FALSE)))</f>
        <v/>
      </c>
      <c r="G88" s="112" t="str">
        <f>IF(D88="","",VLOOKUP(D88,Máquinas!A:C,3,FALSE))</f>
        <v/>
      </c>
      <c r="H88" s="113" t="str">
        <f t="shared" si="6"/>
        <v/>
      </c>
      <c r="I88" s="62">
        <f t="shared" si="7"/>
        <v>0</v>
      </c>
      <c r="J88" s="62">
        <f t="shared" si="8"/>
        <v>0</v>
      </c>
      <c r="K88" s="7"/>
      <c r="L88" s="57"/>
      <c r="M88" s="57"/>
      <c r="N88" s="57"/>
      <c r="O88" s="57"/>
      <c r="P88" s="57"/>
      <c r="Q88" s="57"/>
      <c r="S88" s="57"/>
      <c r="T88" s="57"/>
      <c r="U88" s="57"/>
      <c r="V88" s="57"/>
      <c r="W88" s="57"/>
      <c r="X88" s="57"/>
      <c r="Y88" s="57"/>
      <c r="Z88" s="57"/>
      <c r="AA88" s="57"/>
      <c r="AB88" s="57"/>
      <c r="AC88" s="57"/>
    </row>
    <row r="89" spans="1:29" ht="18" customHeight="1" x14ac:dyDescent="0.25">
      <c r="A89" s="32" t="str">
        <f t="shared" si="5"/>
        <v>Não</v>
      </c>
      <c r="B89" s="106">
        <v>84</v>
      </c>
      <c r="C89" s="111" t="str">
        <f>IF($C$2=0,"",IF(ISERROR(VLOOKUP($C$2&amp;"-"&amp;$B89,'BD Seq Op'!$C:$H,2,FALSE)),"",VLOOKUP($C$2&amp;"-"&amp;$B89,'BD Seq Op'!$C:$H,2,FALSE)))</f>
        <v/>
      </c>
      <c r="D89" s="105" t="str">
        <f>IF($C$2=0,"",IF(ISERROR(VLOOKUP($C$2&amp;"-"&amp;$B89,'BD Seq Op'!$C:$H,3,FALSE)),"",VLOOKUP($C$2&amp;"-"&amp;$B89,'BD Seq Op'!$C:$H,3,FALSE)))</f>
        <v/>
      </c>
      <c r="E89" s="105" t="str">
        <f>IF($C$2=0,"",IF(ISERROR(VLOOKUP($C$2&amp;"-"&amp;$B89,'BD Seq Op'!$C:$H,4,FALSE)),"",VLOOKUP($C$2&amp;"-"&amp;$B89,'BD Seq Op'!$C:$H,4,FALSE)))</f>
        <v/>
      </c>
      <c r="F89" s="62" t="str">
        <f>IF($C$2=0,"",IF(ISERROR(VLOOKUP($C$2&amp;"-"&amp;$B89,'BD Seq Op'!$C:$H,5,FALSE)),"",VLOOKUP($C$2&amp;"-"&amp;$B89,'BD Seq Op'!$C:$H,5,FALSE)))</f>
        <v/>
      </c>
      <c r="G89" s="112" t="str">
        <f>IF(D89="","",VLOOKUP(D89,Máquinas!A:C,3,FALSE))</f>
        <v/>
      </c>
      <c r="H89" s="113" t="str">
        <f t="shared" si="6"/>
        <v/>
      </c>
      <c r="I89" s="62">
        <f t="shared" si="7"/>
        <v>0</v>
      </c>
      <c r="J89" s="62">
        <f t="shared" si="8"/>
        <v>0</v>
      </c>
      <c r="K89" s="7"/>
      <c r="L89" s="57"/>
      <c r="M89" s="57"/>
      <c r="N89" s="57"/>
      <c r="O89" s="57"/>
      <c r="P89" s="57"/>
      <c r="Q89" s="57"/>
      <c r="S89" s="57"/>
      <c r="T89" s="57"/>
      <c r="U89" s="57"/>
      <c r="V89" s="57"/>
      <c r="W89" s="57"/>
      <c r="X89" s="57"/>
      <c r="Y89" s="57"/>
      <c r="Z89" s="57"/>
      <c r="AA89" s="57"/>
      <c r="AB89" s="57"/>
      <c r="AC89" s="57"/>
    </row>
    <row r="90" spans="1:29" ht="18" customHeight="1" x14ac:dyDescent="0.25">
      <c r="A90" s="32" t="str">
        <f t="shared" si="5"/>
        <v>Não</v>
      </c>
      <c r="B90" s="105">
        <v>85</v>
      </c>
      <c r="C90" s="111" t="str">
        <f>IF($C$2=0,"",IF(ISERROR(VLOOKUP($C$2&amp;"-"&amp;$B90,'BD Seq Op'!$C:$H,2,FALSE)),"",VLOOKUP($C$2&amp;"-"&amp;$B90,'BD Seq Op'!$C:$H,2,FALSE)))</f>
        <v/>
      </c>
      <c r="D90" s="105" t="str">
        <f>IF($C$2=0,"",IF(ISERROR(VLOOKUP($C$2&amp;"-"&amp;$B90,'BD Seq Op'!$C:$H,3,FALSE)),"",VLOOKUP($C$2&amp;"-"&amp;$B90,'BD Seq Op'!$C:$H,3,FALSE)))</f>
        <v/>
      </c>
      <c r="E90" s="105" t="str">
        <f>IF($C$2=0,"",IF(ISERROR(VLOOKUP($C$2&amp;"-"&amp;$B90,'BD Seq Op'!$C:$H,4,FALSE)),"",VLOOKUP($C$2&amp;"-"&amp;$B90,'BD Seq Op'!$C:$H,4,FALSE)))</f>
        <v/>
      </c>
      <c r="F90" s="62" t="str">
        <f>IF($C$2=0,"",IF(ISERROR(VLOOKUP($C$2&amp;"-"&amp;$B90,'BD Seq Op'!$C:$H,5,FALSE)),"",VLOOKUP($C$2&amp;"-"&amp;$B90,'BD Seq Op'!$C:$H,5,FALSE)))</f>
        <v/>
      </c>
      <c r="G90" s="112" t="str">
        <f>IF(D90="","",VLOOKUP(D90,Máquinas!A:C,3,FALSE))</f>
        <v/>
      </c>
      <c r="H90" s="113" t="str">
        <f t="shared" si="6"/>
        <v/>
      </c>
      <c r="I90" s="62">
        <f t="shared" si="7"/>
        <v>0</v>
      </c>
      <c r="J90" s="62">
        <f t="shared" si="8"/>
        <v>0</v>
      </c>
      <c r="K90" s="7"/>
      <c r="L90" s="57"/>
      <c r="M90" s="57"/>
      <c r="N90" s="57"/>
      <c r="O90" s="57"/>
      <c r="P90" s="57"/>
      <c r="Q90" s="57"/>
      <c r="S90" s="57"/>
      <c r="T90" s="57"/>
      <c r="U90" s="57"/>
      <c r="V90" s="57"/>
      <c r="W90" s="57"/>
      <c r="X90" s="57"/>
      <c r="Y90" s="57"/>
      <c r="Z90" s="57"/>
      <c r="AA90" s="57"/>
      <c r="AB90" s="57"/>
      <c r="AC90" s="57"/>
    </row>
    <row r="91" spans="1:29" ht="18" customHeight="1" x14ac:dyDescent="0.25">
      <c r="A91" s="32" t="str">
        <f t="shared" si="5"/>
        <v>Não</v>
      </c>
      <c r="B91" s="106">
        <v>86</v>
      </c>
      <c r="C91" s="111" t="str">
        <f>IF($C$2=0,"",IF(ISERROR(VLOOKUP($C$2&amp;"-"&amp;$B91,'BD Seq Op'!$C:$H,2,FALSE)),"",VLOOKUP($C$2&amp;"-"&amp;$B91,'BD Seq Op'!$C:$H,2,FALSE)))</f>
        <v/>
      </c>
      <c r="D91" s="105" t="str">
        <f>IF($C$2=0,"",IF(ISERROR(VLOOKUP($C$2&amp;"-"&amp;$B91,'BD Seq Op'!$C:$H,3,FALSE)),"",VLOOKUP($C$2&amp;"-"&amp;$B91,'BD Seq Op'!$C:$H,3,FALSE)))</f>
        <v/>
      </c>
      <c r="E91" s="105" t="str">
        <f>IF($C$2=0,"",IF(ISERROR(VLOOKUP($C$2&amp;"-"&amp;$B91,'BD Seq Op'!$C:$H,4,FALSE)),"",VLOOKUP($C$2&amp;"-"&amp;$B91,'BD Seq Op'!$C:$H,4,FALSE)))</f>
        <v/>
      </c>
      <c r="F91" s="62" t="str">
        <f>IF($C$2=0,"",IF(ISERROR(VLOOKUP($C$2&amp;"-"&amp;$B91,'BD Seq Op'!$C:$H,5,FALSE)),"",VLOOKUP($C$2&amp;"-"&amp;$B91,'BD Seq Op'!$C:$H,5,FALSE)))</f>
        <v/>
      </c>
      <c r="G91" s="112" t="str">
        <f>IF(D91="","",VLOOKUP(D91,Máquinas!A:C,3,FALSE))</f>
        <v/>
      </c>
      <c r="H91" s="113" t="str">
        <f t="shared" si="6"/>
        <v/>
      </c>
      <c r="I91" s="62">
        <f t="shared" si="7"/>
        <v>0</v>
      </c>
      <c r="J91" s="62">
        <f t="shared" si="8"/>
        <v>0</v>
      </c>
      <c r="K91" s="7"/>
      <c r="L91" s="57"/>
      <c r="M91" s="57"/>
      <c r="N91" s="57"/>
      <c r="O91" s="57"/>
      <c r="P91" s="57"/>
      <c r="Q91" s="57"/>
      <c r="S91" s="57"/>
      <c r="T91" s="57"/>
      <c r="U91" s="57"/>
      <c r="V91" s="57"/>
      <c r="W91" s="57"/>
      <c r="X91" s="57"/>
      <c r="Y91" s="57"/>
      <c r="Z91" s="57"/>
      <c r="AA91" s="57"/>
      <c r="AB91" s="57"/>
      <c r="AC91" s="57"/>
    </row>
    <row r="92" spans="1:29" ht="18" customHeight="1" x14ac:dyDescent="0.25">
      <c r="A92" s="32" t="str">
        <f t="shared" si="5"/>
        <v>Não</v>
      </c>
      <c r="B92" s="105">
        <v>87</v>
      </c>
      <c r="C92" s="111" t="str">
        <f>IF($C$2=0,"",IF(ISERROR(VLOOKUP($C$2&amp;"-"&amp;$B92,'BD Seq Op'!$C:$H,2,FALSE)),"",VLOOKUP($C$2&amp;"-"&amp;$B92,'BD Seq Op'!$C:$H,2,FALSE)))</f>
        <v/>
      </c>
      <c r="D92" s="105" t="str">
        <f>IF($C$2=0,"",IF(ISERROR(VLOOKUP($C$2&amp;"-"&amp;$B92,'BD Seq Op'!$C:$H,3,FALSE)),"",VLOOKUP($C$2&amp;"-"&amp;$B92,'BD Seq Op'!$C:$H,3,FALSE)))</f>
        <v/>
      </c>
      <c r="E92" s="105" t="str">
        <f>IF($C$2=0,"",IF(ISERROR(VLOOKUP($C$2&amp;"-"&amp;$B92,'BD Seq Op'!$C:$H,4,FALSE)),"",VLOOKUP($C$2&amp;"-"&amp;$B92,'BD Seq Op'!$C:$H,4,FALSE)))</f>
        <v/>
      </c>
      <c r="F92" s="62" t="str">
        <f>IF($C$2=0,"",IF(ISERROR(VLOOKUP($C$2&amp;"-"&amp;$B92,'BD Seq Op'!$C:$H,5,FALSE)),"",VLOOKUP($C$2&amp;"-"&amp;$B92,'BD Seq Op'!$C:$H,5,FALSE)))</f>
        <v/>
      </c>
      <c r="G92" s="112" t="str">
        <f>IF(D92="","",VLOOKUP(D92,Máquinas!A:C,3,FALSE))</f>
        <v/>
      </c>
      <c r="H92" s="113" t="str">
        <f t="shared" si="6"/>
        <v/>
      </c>
      <c r="I92" s="62">
        <f t="shared" si="7"/>
        <v>0</v>
      </c>
      <c r="J92" s="62">
        <f t="shared" si="8"/>
        <v>0</v>
      </c>
      <c r="K92" s="7"/>
      <c r="L92" s="57"/>
      <c r="M92" s="57"/>
      <c r="N92" s="57"/>
      <c r="O92" s="57"/>
      <c r="P92" s="57"/>
      <c r="Q92" s="57"/>
      <c r="S92" s="57"/>
      <c r="T92" s="57"/>
      <c r="U92" s="57"/>
      <c r="V92" s="57"/>
      <c r="W92" s="57"/>
      <c r="X92" s="57"/>
      <c r="Y92" s="57"/>
      <c r="Z92" s="57"/>
      <c r="AA92" s="57"/>
      <c r="AB92" s="57"/>
      <c r="AC92" s="57"/>
    </row>
    <row r="93" spans="1:29" ht="18" customHeight="1" x14ac:dyDescent="0.25">
      <c r="A93" s="32" t="str">
        <f t="shared" si="5"/>
        <v>Não</v>
      </c>
      <c r="B93" s="106">
        <v>88</v>
      </c>
      <c r="C93" s="111" t="str">
        <f>IF($C$2=0,"",IF(ISERROR(VLOOKUP($C$2&amp;"-"&amp;$B93,'BD Seq Op'!$C:$H,2,FALSE)),"",VLOOKUP($C$2&amp;"-"&amp;$B93,'BD Seq Op'!$C:$H,2,FALSE)))</f>
        <v/>
      </c>
      <c r="D93" s="105" t="str">
        <f>IF($C$2=0,"",IF(ISERROR(VLOOKUP($C$2&amp;"-"&amp;$B93,'BD Seq Op'!$C:$H,3,FALSE)),"",VLOOKUP($C$2&amp;"-"&amp;$B93,'BD Seq Op'!$C:$H,3,FALSE)))</f>
        <v/>
      </c>
      <c r="E93" s="105" t="str">
        <f>IF($C$2=0,"",IF(ISERROR(VLOOKUP($C$2&amp;"-"&amp;$B93,'BD Seq Op'!$C:$H,4,FALSE)),"",VLOOKUP($C$2&amp;"-"&amp;$B93,'BD Seq Op'!$C:$H,4,FALSE)))</f>
        <v/>
      </c>
      <c r="F93" s="62" t="str">
        <f>IF($C$2=0,"",IF(ISERROR(VLOOKUP($C$2&amp;"-"&amp;$B93,'BD Seq Op'!$C:$H,5,FALSE)),"",VLOOKUP($C$2&amp;"-"&amp;$B93,'BD Seq Op'!$C:$H,5,FALSE)))</f>
        <v/>
      </c>
      <c r="G93" s="112" t="str">
        <f>IF(D93="","",VLOOKUP(D93,Máquinas!A:C,3,FALSE))</f>
        <v/>
      </c>
      <c r="H93" s="113" t="str">
        <f t="shared" si="6"/>
        <v/>
      </c>
      <c r="I93" s="62">
        <f t="shared" si="7"/>
        <v>0</v>
      </c>
      <c r="J93" s="62">
        <f t="shared" si="8"/>
        <v>0</v>
      </c>
      <c r="K93" s="7"/>
      <c r="L93" s="57"/>
      <c r="M93" s="57"/>
      <c r="N93" s="57"/>
      <c r="O93" s="57"/>
      <c r="P93" s="57"/>
      <c r="Q93" s="57"/>
      <c r="S93" s="57"/>
      <c r="T93" s="57"/>
      <c r="U93" s="57"/>
      <c r="V93" s="57"/>
      <c r="W93" s="57"/>
      <c r="X93" s="57"/>
      <c r="Y93" s="57"/>
      <c r="Z93" s="57"/>
      <c r="AA93" s="57"/>
      <c r="AB93" s="57"/>
      <c r="AC93" s="57"/>
    </row>
    <row r="94" spans="1:29" ht="18" customHeight="1" x14ac:dyDescent="0.25">
      <c r="A94" s="32" t="str">
        <f t="shared" si="5"/>
        <v>Não</v>
      </c>
      <c r="B94" s="105">
        <v>89</v>
      </c>
      <c r="C94" s="111" t="str">
        <f>IF($C$2=0,"",IF(ISERROR(VLOOKUP($C$2&amp;"-"&amp;$B94,'BD Seq Op'!$C:$H,2,FALSE)),"",VLOOKUP($C$2&amp;"-"&amp;$B94,'BD Seq Op'!$C:$H,2,FALSE)))</f>
        <v/>
      </c>
      <c r="D94" s="105" t="str">
        <f>IF($C$2=0,"",IF(ISERROR(VLOOKUP($C$2&amp;"-"&amp;$B94,'BD Seq Op'!$C:$H,3,FALSE)),"",VLOOKUP($C$2&amp;"-"&amp;$B94,'BD Seq Op'!$C:$H,3,FALSE)))</f>
        <v/>
      </c>
      <c r="E94" s="105" t="str">
        <f>IF($C$2=0,"",IF(ISERROR(VLOOKUP($C$2&amp;"-"&amp;$B94,'BD Seq Op'!$C:$H,4,FALSE)),"",VLOOKUP($C$2&amp;"-"&amp;$B94,'BD Seq Op'!$C:$H,4,FALSE)))</f>
        <v/>
      </c>
      <c r="F94" s="62" t="str">
        <f>IF($C$2=0,"",IF(ISERROR(VLOOKUP($C$2&amp;"-"&amp;$B94,'BD Seq Op'!$C:$H,5,FALSE)),"",VLOOKUP($C$2&amp;"-"&amp;$B94,'BD Seq Op'!$C:$H,5,FALSE)))</f>
        <v/>
      </c>
      <c r="G94" s="112" t="str">
        <f>IF(D94="","",VLOOKUP(D94,Máquinas!A:C,3,FALSE))</f>
        <v/>
      </c>
      <c r="H94" s="113" t="str">
        <f t="shared" si="6"/>
        <v/>
      </c>
      <c r="I94" s="62">
        <f t="shared" si="7"/>
        <v>0</v>
      </c>
      <c r="J94" s="62">
        <f t="shared" si="8"/>
        <v>0</v>
      </c>
      <c r="K94" s="7"/>
      <c r="L94" s="57"/>
      <c r="M94" s="57"/>
      <c r="N94" s="57"/>
      <c r="O94" s="57"/>
      <c r="P94" s="57"/>
      <c r="Q94" s="57"/>
      <c r="S94" s="57"/>
      <c r="T94" s="57"/>
      <c r="U94" s="57"/>
      <c r="V94" s="57"/>
      <c r="W94" s="57"/>
      <c r="X94" s="57"/>
      <c r="Y94" s="57"/>
      <c r="Z94" s="57"/>
      <c r="AA94" s="57"/>
      <c r="AB94" s="57"/>
      <c r="AC94" s="57"/>
    </row>
    <row r="95" spans="1:29" ht="18" customHeight="1" x14ac:dyDescent="0.25">
      <c r="A95" s="32" t="str">
        <f t="shared" si="5"/>
        <v>Não</v>
      </c>
      <c r="B95" s="106">
        <v>90</v>
      </c>
      <c r="C95" s="111" t="str">
        <f>IF($C$2=0,"",IF(ISERROR(VLOOKUP($C$2&amp;"-"&amp;$B95,'BD Seq Op'!$C:$H,2,FALSE)),"",VLOOKUP($C$2&amp;"-"&amp;$B95,'BD Seq Op'!$C:$H,2,FALSE)))</f>
        <v/>
      </c>
      <c r="D95" s="105" t="str">
        <f>IF($C$2=0,"",IF(ISERROR(VLOOKUP($C$2&amp;"-"&amp;$B95,'BD Seq Op'!$C:$H,3,FALSE)),"",VLOOKUP($C$2&amp;"-"&amp;$B95,'BD Seq Op'!$C:$H,3,FALSE)))</f>
        <v/>
      </c>
      <c r="E95" s="105" t="str">
        <f>IF($C$2=0,"",IF(ISERROR(VLOOKUP($C$2&amp;"-"&amp;$B95,'BD Seq Op'!$C:$H,4,FALSE)),"",VLOOKUP($C$2&amp;"-"&amp;$B95,'BD Seq Op'!$C:$H,4,FALSE)))</f>
        <v/>
      </c>
      <c r="F95" s="62" t="str">
        <f>IF($C$2=0,"",IF(ISERROR(VLOOKUP($C$2&amp;"-"&amp;$B95,'BD Seq Op'!$C:$H,5,FALSE)),"",VLOOKUP($C$2&amp;"-"&amp;$B95,'BD Seq Op'!$C:$H,5,FALSE)))</f>
        <v/>
      </c>
      <c r="G95" s="112" t="str">
        <f>IF(D95="","",VLOOKUP(D95,Máquinas!A:C,3,FALSE))</f>
        <v/>
      </c>
      <c r="H95" s="113" t="str">
        <f t="shared" si="6"/>
        <v/>
      </c>
      <c r="I95" s="62">
        <f t="shared" si="7"/>
        <v>0</v>
      </c>
      <c r="J95" s="62">
        <f t="shared" si="8"/>
        <v>0</v>
      </c>
      <c r="K95" s="7"/>
      <c r="L95" s="57"/>
      <c r="M95" s="57"/>
      <c r="N95" s="57"/>
      <c r="O95" s="57"/>
      <c r="P95" s="57"/>
      <c r="Q95" s="57"/>
      <c r="S95" s="57"/>
      <c r="T95" s="57"/>
      <c r="U95" s="57"/>
      <c r="V95" s="57"/>
      <c r="W95" s="57"/>
      <c r="X95" s="57"/>
      <c r="Y95" s="57"/>
      <c r="Z95" s="57"/>
      <c r="AA95" s="57"/>
      <c r="AB95" s="57"/>
      <c r="AC95" s="57"/>
    </row>
    <row r="96" spans="1:29" ht="18" customHeight="1" x14ac:dyDescent="0.25">
      <c r="A96" s="32" t="str">
        <f t="shared" si="5"/>
        <v>Não</v>
      </c>
      <c r="B96" s="105">
        <v>91</v>
      </c>
      <c r="C96" s="111" t="str">
        <f>IF($C$2=0,"",IF(ISERROR(VLOOKUP($C$2&amp;"-"&amp;$B96,'BD Seq Op'!$C:$H,2,FALSE)),"",VLOOKUP($C$2&amp;"-"&amp;$B96,'BD Seq Op'!$C:$H,2,FALSE)))</f>
        <v/>
      </c>
      <c r="D96" s="105" t="str">
        <f>IF($C$2=0,"",IF(ISERROR(VLOOKUP($C$2&amp;"-"&amp;$B96,'BD Seq Op'!$C:$H,3,FALSE)),"",VLOOKUP($C$2&amp;"-"&amp;$B96,'BD Seq Op'!$C:$H,3,FALSE)))</f>
        <v/>
      </c>
      <c r="E96" s="105" t="str">
        <f>IF($C$2=0,"",IF(ISERROR(VLOOKUP($C$2&amp;"-"&amp;$B96,'BD Seq Op'!$C:$H,4,FALSE)),"",VLOOKUP($C$2&amp;"-"&amp;$B96,'BD Seq Op'!$C:$H,4,FALSE)))</f>
        <v/>
      </c>
      <c r="F96" s="62" t="str">
        <f>IF($C$2=0,"",IF(ISERROR(VLOOKUP($C$2&amp;"-"&amp;$B96,'BD Seq Op'!$C:$H,5,FALSE)),"",VLOOKUP($C$2&amp;"-"&amp;$B96,'BD Seq Op'!$C:$H,5,FALSE)))</f>
        <v/>
      </c>
      <c r="G96" s="112" t="str">
        <f>IF(D96="","",VLOOKUP(D96,Máquinas!A:C,3,FALSE))</f>
        <v/>
      </c>
      <c r="H96" s="113" t="str">
        <f t="shared" si="6"/>
        <v/>
      </c>
      <c r="I96" s="62">
        <f t="shared" si="7"/>
        <v>0</v>
      </c>
      <c r="J96" s="62">
        <f t="shared" si="8"/>
        <v>0</v>
      </c>
      <c r="K96" s="7"/>
      <c r="L96" s="57"/>
      <c r="M96" s="57"/>
      <c r="N96" s="57"/>
      <c r="O96" s="57"/>
      <c r="P96" s="57"/>
      <c r="Q96" s="57"/>
      <c r="S96" s="57"/>
      <c r="T96" s="57"/>
      <c r="U96" s="57"/>
      <c r="V96" s="57"/>
      <c r="W96" s="57"/>
      <c r="X96" s="57"/>
      <c r="Y96" s="57"/>
      <c r="Z96" s="57"/>
      <c r="AA96" s="57"/>
      <c r="AB96" s="57"/>
      <c r="AC96" s="57"/>
    </row>
    <row r="97" spans="1:29" ht="18" customHeight="1" x14ac:dyDescent="0.25">
      <c r="A97" s="32" t="str">
        <f t="shared" si="5"/>
        <v>Não</v>
      </c>
      <c r="B97" s="106">
        <v>92</v>
      </c>
      <c r="C97" s="111" t="str">
        <f>IF($C$2=0,"",IF(ISERROR(VLOOKUP($C$2&amp;"-"&amp;$B97,'BD Seq Op'!$C:$H,2,FALSE)),"",VLOOKUP($C$2&amp;"-"&amp;$B97,'BD Seq Op'!$C:$H,2,FALSE)))</f>
        <v/>
      </c>
      <c r="D97" s="105" t="str">
        <f>IF($C$2=0,"",IF(ISERROR(VLOOKUP($C$2&amp;"-"&amp;$B97,'BD Seq Op'!$C:$H,3,FALSE)),"",VLOOKUP($C$2&amp;"-"&amp;$B97,'BD Seq Op'!$C:$H,3,FALSE)))</f>
        <v/>
      </c>
      <c r="E97" s="105" t="str">
        <f>IF($C$2=0,"",IF(ISERROR(VLOOKUP($C$2&amp;"-"&amp;$B97,'BD Seq Op'!$C:$H,4,FALSE)),"",VLOOKUP($C$2&amp;"-"&amp;$B97,'BD Seq Op'!$C:$H,4,FALSE)))</f>
        <v/>
      </c>
      <c r="F97" s="62" t="str">
        <f>IF($C$2=0,"",IF(ISERROR(VLOOKUP($C$2&amp;"-"&amp;$B97,'BD Seq Op'!$C:$H,5,FALSE)),"",VLOOKUP($C$2&amp;"-"&amp;$B97,'BD Seq Op'!$C:$H,5,FALSE)))</f>
        <v/>
      </c>
      <c r="G97" s="112" t="str">
        <f>IF(D97="","",VLOOKUP(D97,Máquinas!A:C,3,FALSE))</f>
        <v/>
      </c>
      <c r="H97" s="113" t="str">
        <f t="shared" si="6"/>
        <v/>
      </c>
      <c r="I97" s="62">
        <f t="shared" si="7"/>
        <v>0</v>
      </c>
      <c r="J97" s="62">
        <f t="shared" si="8"/>
        <v>0</v>
      </c>
      <c r="K97" s="7"/>
      <c r="L97" s="57"/>
      <c r="M97" s="57"/>
      <c r="N97" s="57"/>
      <c r="O97" s="57"/>
      <c r="P97" s="57"/>
      <c r="Q97" s="57"/>
      <c r="S97" s="57"/>
      <c r="T97" s="57"/>
      <c r="U97" s="57"/>
      <c r="V97" s="57"/>
      <c r="W97" s="57"/>
      <c r="X97" s="57"/>
      <c r="Y97" s="57"/>
      <c r="Z97" s="57"/>
      <c r="AA97" s="57"/>
      <c r="AB97" s="57"/>
      <c r="AC97" s="57"/>
    </row>
    <row r="98" spans="1:29" ht="18" customHeight="1" x14ac:dyDescent="0.25">
      <c r="A98" s="32" t="str">
        <f t="shared" si="5"/>
        <v>Não</v>
      </c>
      <c r="B98" s="105">
        <v>93</v>
      </c>
      <c r="C98" s="111" t="str">
        <f>IF($C$2=0,"",IF(ISERROR(VLOOKUP($C$2&amp;"-"&amp;$B98,'BD Seq Op'!$C:$H,2,FALSE)),"",VLOOKUP($C$2&amp;"-"&amp;$B98,'BD Seq Op'!$C:$H,2,FALSE)))</f>
        <v/>
      </c>
      <c r="D98" s="105" t="str">
        <f>IF($C$2=0,"",IF(ISERROR(VLOOKUP($C$2&amp;"-"&amp;$B98,'BD Seq Op'!$C:$H,3,FALSE)),"",VLOOKUP($C$2&amp;"-"&amp;$B98,'BD Seq Op'!$C:$H,3,FALSE)))</f>
        <v/>
      </c>
      <c r="E98" s="105" t="str">
        <f>IF($C$2=0,"",IF(ISERROR(VLOOKUP($C$2&amp;"-"&amp;$B98,'BD Seq Op'!$C:$H,4,FALSE)),"",VLOOKUP($C$2&amp;"-"&amp;$B98,'BD Seq Op'!$C:$H,4,FALSE)))</f>
        <v/>
      </c>
      <c r="F98" s="62" t="str">
        <f>IF($C$2=0,"",IF(ISERROR(VLOOKUP($C$2&amp;"-"&amp;$B98,'BD Seq Op'!$C:$H,5,FALSE)),"",VLOOKUP($C$2&amp;"-"&amp;$B98,'BD Seq Op'!$C:$H,5,FALSE)))</f>
        <v/>
      </c>
      <c r="G98" s="112" t="str">
        <f>IF(D98="","",VLOOKUP(D98,Máquinas!A:C,3,FALSE))</f>
        <v/>
      </c>
      <c r="H98" s="113" t="str">
        <f t="shared" si="6"/>
        <v/>
      </c>
      <c r="I98" s="62">
        <f t="shared" si="7"/>
        <v>0</v>
      </c>
      <c r="J98" s="62">
        <f t="shared" si="8"/>
        <v>0</v>
      </c>
      <c r="K98" s="7"/>
      <c r="L98" s="57"/>
      <c r="M98" s="57"/>
      <c r="N98" s="57"/>
      <c r="O98" s="57"/>
      <c r="P98" s="57"/>
      <c r="Q98" s="57"/>
      <c r="S98" s="57"/>
      <c r="T98" s="57"/>
      <c r="U98" s="57"/>
      <c r="V98" s="57"/>
      <c r="W98" s="57"/>
      <c r="X98" s="57"/>
      <c r="Y98" s="57"/>
      <c r="Z98" s="57"/>
      <c r="AA98" s="57"/>
      <c r="AB98" s="57"/>
      <c r="AC98" s="57"/>
    </row>
    <row r="99" spans="1:29" ht="18" customHeight="1" x14ac:dyDescent="0.25">
      <c r="A99" s="32" t="str">
        <f t="shared" si="5"/>
        <v>Não</v>
      </c>
      <c r="B99" s="106">
        <v>94</v>
      </c>
      <c r="C99" s="111" t="str">
        <f>IF($C$2=0,"",IF(ISERROR(VLOOKUP($C$2&amp;"-"&amp;$B99,'BD Seq Op'!$C:$H,2,FALSE)),"",VLOOKUP($C$2&amp;"-"&amp;$B99,'BD Seq Op'!$C:$H,2,FALSE)))</f>
        <v/>
      </c>
      <c r="D99" s="105" t="str">
        <f>IF($C$2=0,"",IF(ISERROR(VLOOKUP($C$2&amp;"-"&amp;$B99,'BD Seq Op'!$C:$H,3,FALSE)),"",VLOOKUP($C$2&amp;"-"&amp;$B99,'BD Seq Op'!$C:$H,3,FALSE)))</f>
        <v/>
      </c>
      <c r="E99" s="105" t="str">
        <f>IF($C$2=0,"",IF(ISERROR(VLOOKUP($C$2&amp;"-"&amp;$B99,'BD Seq Op'!$C:$H,4,FALSE)),"",VLOOKUP($C$2&amp;"-"&amp;$B99,'BD Seq Op'!$C:$H,4,FALSE)))</f>
        <v/>
      </c>
      <c r="F99" s="62" t="str">
        <f>IF($C$2=0,"",IF(ISERROR(VLOOKUP($C$2&amp;"-"&amp;$B99,'BD Seq Op'!$C:$H,5,FALSE)),"",VLOOKUP($C$2&amp;"-"&amp;$B99,'BD Seq Op'!$C:$H,5,FALSE)))</f>
        <v/>
      </c>
      <c r="G99" s="112" t="str">
        <f>IF(D99="","",VLOOKUP(D99,Máquinas!A:C,3,FALSE))</f>
        <v/>
      </c>
      <c r="H99" s="113" t="str">
        <f t="shared" si="6"/>
        <v/>
      </c>
      <c r="I99" s="62">
        <f t="shared" si="7"/>
        <v>0</v>
      </c>
      <c r="J99" s="62">
        <f t="shared" si="8"/>
        <v>0</v>
      </c>
      <c r="K99" s="7"/>
      <c r="L99" s="57"/>
      <c r="M99" s="57"/>
      <c r="N99" s="57"/>
      <c r="O99" s="57"/>
      <c r="P99" s="57"/>
      <c r="Q99" s="57"/>
      <c r="S99" s="57"/>
      <c r="T99" s="57"/>
      <c r="U99" s="57"/>
      <c r="V99" s="57"/>
      <c r="W99" s="57"/>
      <c r="X99" s="57"/>
      <c r="Y99" s="57"/>
      <c r="Z99" s="57"/>
      <c r="AA99" s="57"/>
      <c r="AB99" s="57"/>
      <c r="AC99" s="57"/>
    </row>
    <row r="100" spans="1:29" ht="18" customHeight="1" x14ac:dyDescent="0.25">
      <c r="A100" s="32" t="str">
        <f t="shared" si="5"/>
        <v>Não</v>
      </c>
      <c r="B100" s="105">
        <v>95</v>
      </c>
      <c r="C100" s="111" t="str">
        <f>IF($C$2=0,"",IF(ISERROR(VLOOKUP($C$2&amp;"-"&amp;$B100,'BD Seq Op'!$C:$H,2,FALSE)),"",VLOOKUP($C$2&amp;"-"&amp;$B100,'BD Seq Op'!$C:$H,2,FALSE)))</f>
        <v/>
      </c>
      <c r="D100" s="105" t="str">
        <f>IF($C$2=0,"",IF(ISERROR(VLOOKUP($C$2&amp;"-"&amp;$B100,'BD Seq Op'!$C:$H,3,FALSE)),"",VLOOKUP($C$2&amp;"-"&amp;$B100,'BD Seq Op'!$C:$H,3,FALSE)))</f>
        <v/>
      </c>
      <c r="E100" s="105" t="str">
        <f>IF($C$2=0,"",IF(ISERROR(VLOOKUP($C$2&amp;"-"&amp;$B100,'BD Seq Op'!$C:$H,4,FALSE)),"",VLOOKUP($C$2&amp;"-"&amp;$B100,'BD Seq Op'!$C:$H,4,FALSE)))</f>
        <v/>
      </c>
      <c r="F100" s="62" t="str">
        <f>IF($C$2=0,"",IF(ISERROR(VLOOKUP($C$2&amp;"-"&amp;$B100,'BD Seq Op'!$C:$H,5,FALSE)),"",VLOOKUP($C$2&amp;"-"&amp;$B100,'BD Seq Op'!$C:$H,5,FALSE)))</f>
        <v/>
      </c>
      <c r="G100" s="112" t="str">
        <f>IF(D100="","",VLOOKUP(D100,Máquinas!A:C,3,FALSE))</f>
        <v/>
      </c>
      <c r="H100" s="113" t="str">
        <f t="shared" si="6"/>
        <v/>
      </c>
      <c r="I100" s="62">
        <f t="shared" si="7"/>
        <v>0</v>
      </c>
      <c r="J100" s="62">
        <f t="shared" si="8"/>
        <v>0</v>
      </c>
      <c r="K100" s="7"/>
      <c r="L100" s="57"/>
      <c r="M100" s="57"/>
      <c r="N100" s="57"/>
      <c r="O100" s="57"/>
      <c r="P100" s="57"/>
      <c r="Q100" s="57"/>
      <c r="S100" s="57"/>
      <c r="T100" s="57"/>
      <c r="U100" s="57"/>
      <c r="V100" s="57"/>
      <c r="W100" s="57"/>
      <c r="X100" s="57"/>
      <c r="Y100" s="57"/>
      <c r="Z100" s="57"/>
      <c r="AA100" s="57"/>
      <c r="AB100" s="57"/>
      <c r="AC100" s="57"/>
    </row>
    <row r="101" spans="1:29" ht="18" customHeight="1" x14ac:dyDescent="0.25">
      <c r="A101" s="32" t="str">
        <f t="shared" si="5"/>
        <v>Não</v>
      </c>
      <c r="B101" s="106">
        <v>96</v>
      </c>
      <c r="C101" s="111" t="str">
        <f>IF($C$2=0,"",IF(ISERROR(VLOOKUP($C$2&amp;"-"&amp;$B101,'BD Seq Op'!$C:$H,2,FALSE)),"",VLOOKUP($C$2&amp;"-"&amp;$B101,'BD Seq Op'!$C:$H,2,FALSE)))</f>
        <v/>
      </c>
      <c r="D101" s="105" t="str">
        <f>IF($C$2=0,"",IF(ISERROR(VLOOKUP($C$2&amp;"-"&amp;$B101,'BD Seq Op'!$C:$H,3,FALSE)),"",VLOOKUP($C$2&amp;"-"&amp;$B101,'BD Seq Op'!$C:$H,3,FALSE)))</f>
        <v/>
      </c>
      <c r="E101" s="105" t="str">
        <f>IF($C$2=0,"",IF(ISERROR(VLOOKUP($C$2&amp;"-"&amp;$B101,'BD Seq Op'!$C:$H,4,FALSE)),"",VLOOKUP($C$2&amp;"-"&amp;$B101,'BD Seq Op'!$C:$H,4,FALSE)))</f>
        <v/>
      </c>
      <c r="F101" s="62" t="str">
        <f>IF($C$2=0,"",IF(ISERROR(VLOOKUP($C$2&amp;"-"&amp;$B101,'BD Seq Op'!$C:$H,5,FALSE)),"",VLOOKUP($C$2&amp;"-"&amp;$B101,'BD Seq Op'!$C:$H,5,FALSE)))</f>
        <v/>
      </c>
      <c r="G101" s="112" t="str">
        <f>IF(D101="","",VLOOKUP(D101,Máquinas!A:C,3,FALSE))</f>
        <v/>
      </c>
      <c r="H101" s="113" t="str">
        <f t="shared" si="6"/>
        <v/>
      </c>
      <c r="I101" s="62">
        <f t="shared" si="7"/>
        <v>0</v>
      </c>
      <c r="J101" s="62">
        <f t="shared" si="8"/>
        <v>0</v>
      </c>
      <c r="K101" s="7"/>
      <c r="L101" s="57"/>
      <c r="M101" s="57"/>
      <c r="N101" s="57"/>
      <c r="O101" s="57"/>
      <c r="P101" s="57"/>
      <c r="Q101" s="57"/>
      <c r="S101" s="57"/>
      <c r="T101" s="57"/>
      <c r="U101" s="57"/>
      <c r="V101" s="57"/>
      <c r="W101" s="57"/>
      <c r="X101" s="57"/>
      <c r="Y101" s="57"/>
      <c r="Z101" s="57"/>
      <c r="AA101" s="57"/>
      <c r="AB101" s="57"/>
      <c r="AC101" s="57"/>
    </row>
    <row r="102" spans="1:29" ht="18" customHeight="1" x14ac:dyDescent="0.25">
      <c r="A102" s="32" t="str">
        <f t="shared" si="5"/>
        <v>Não</v>
      </c>
      <c r="B102" s="105">
        <v>97</v>
      </c>
      <c r="C102" s="111" t="str">
        <f>IF($C$2=0,"",IF(ISERROR(VLOOKUP($C$2&amp;"-"&amp;$B102,'BD Seq Op'!$C:$H,2,FALSE)),"",VLOOKUP($C$2&amp;"-"&amp;$B102,'BD Seq Op'!$C:$H,2,FALSE)))</f>
        <v/>
      </c>
      <c r="D102" s="105" t="str">
        <f>IF($C$2=0,"",IF(ISERROR(VLOOKUP($C$2&amp;"-"&amp;$B102,'BD Seq Op'!$C:$H,3,FALSE)),"",VLOOKUP($C$2&amp;"-"&amp;$B102,'BD Seq Op'!$C:$H,3,FALSE)))</f>
        <v/>
      </c>
      <c r="E102" s="105" t="str">
        <f>IF($C$2=0,"",IF(ISERROR(VLOOKUP($C$2&amp;"-"&amp;$B102,'BD Seq Op'!$C:$H,4,FALSE)),"",VLOOKUP($C$2&amp;"-"&amp;$B102,'BD Seq Op'!$C:$H,4,FALSE)))</f>
        <v/>
      </c>
      <c r="F102" s="62" t="str">
        <f>IF($C$2=0,"",IF(ISERROR(VLOOKUP($C$2&amp;"-"&amp;$B102,'BD Seq Op'!$C:$H,5,FALSE)),"",VLOOKUP($C$2&amp;"-"&amp;$B102,'BD Seq Op'!$C:$H,5,FALSE)))</f>
        <v/>
      </c>
      <c r="G102" s="112" t="str">
        <f>IF(D102="","",VLOOKUP(D102,Máquinas!A:C,3,FALSE))</f>
        <v/>
      </c>
      <c r="H102" s="113" t="str">
        <f t="shared" si="6"/>
        <v/>
      </c>
      <c r="I102" s="62">
        <f t="shared" si="7"/>
        <v>0</v>
      </c>
      <c r="J102" s="62">
        <f t="shared" si="8"/>
        <v>0</v>
      </c>
      <c r="K102" s="7"/>
      <c r="L102" s="57"/>
      <c r="M102" s="57"/>
      <c r="N102" s="57"/>
      <c r="O102" s="57"/>
      <c r="P102" s="57"/>
      <c r="Q102" s="57"/>
      <c r="S102" s="57"/>
      <c r="T102" s="57"/>
      <c r="U102" s="57"/>
      <c r="V102" s="57"/>
      <c r="W102" s="57"/>
      <c r="X102" s="57"/>
      <c r="Y102" s="57"/>
      <c r="Z102" s="57"/>
      <c r="AA102" s="57"/>
      <c r="AB102" s="57"/>
      <c r="AC102" s="57"/>
    </row>
    <row r="103" spans="1:29" ht="18" customHeight="1" x14ac:dyDescent="0.25">
      <c r="A103" s="32" t="str">
        <f t="shared" si="5"/>
        <v>Não</v>
      </c>
      <c r="B103" s="106">
        <v>98</v>
      </c>
      <c r="C103" s="111" t="str">
        <f>IF($C$2=0,"",IF(ISERROR(VLOOKUP($C$2&amp;"-"&amp;$B103,'BD Seq Op'!$C:$H,2,FALSE)),"",VLOOKUP($C$2&amp;"-"&amp;$B103,'BD Seq Op'!$C:$H,2,FALSE)))</f>
        <v/>
      </c>
      <c r="D103" s="105" t="str">
        <f>IF($C$2=0,"",IF(ISERROR(VLOOKUP($C$2&amp;"-"&amp;$B103,'BD Seq Op'!$C:$H,3,FALSE)),"",VLOOKUP($C$2&amp;"-"&amp;$B103,'BD Seq Op'!$C:$H,3,FALSE)))</f>
        <v/>
      </c>
      <c r="E103" s="105" t="str">
        <f>IF($C$2=0,"",IF(ISERROR(VLOOKUP($C$2&amp;"-"&amp;$B103,'BD Seq Op'!$C:$H,4,FALSE)),"",VLOOKUP($C$2&amp;"-"&amp;$B103,'BD Seq Op'!$C:$H,4,FALSE)))</f>
        <v/>
      </c>
      <c r="F103" s="62" t="str">
        <f>IF($C$2=0,"",IF(ISERROR(VLOOKUP($C$2&amp;"-"&amp;$B103,'BD Seq Op'!$C:$H,5,FALSE)),"",VLOOKUP($C$2&amp;"-"&amp;$B103,'BD Seq Op'!$C:$H,5,FALSE)))</f>
        <v/>
      </c>
      <c r="G103" s="112" t="str">
        <f>IF(D103="","",VLOOKUP(D103,Máquinas!A:C,3,FALSE))</f>
        <v/>
      </c>
      <c r="H103" s="113" t="str">
        <f t="shared" si="6"/>
        <v/>
      </c>
      <c r="I103" s="62">
        <f t="shared" si="7"/>
        <v>0</v>
      </c>
      <c r="J103" s="62">
        <f t="shared" si="8"/>
        <v>0</v>
      </c>
      <c r="K103" s="7"/>
      <c r="L103" s="57"/>
      <c r="M103" s="57"/>
      <c r="N103" s="57"/>
      <c r="O103" s="57"/>
      <c r="P103" s="57"/>
      <c r="Q103" s="57"/>
      <c r="S103" s="57"/>
      <c r="T103" s="57"/>
      <c r="U103" s="57"/>
      <c r="V103" s="57"/>
      <c r="W103" s="57"/>
      <c r="X103" s="57"/>
      <c r="Y103" s="57"/>
      <c r="Z103" s="57"/>
      <c r="AA103" s="57"/>
      <c r="AB103" s="57"/>
      <c r="AC103" s="57"/>
    </row>
    <row r="104" spans="1:29" ht="18" customHeight="1" x14ac:dyDescent="0.25">
      <c r="A104" s="32" t="str">
        <f t="shared" si="5"/>
        <v>Não</v>
      </c>
      <c r="B104" s="105">
        <v>99</v>
      </c>
      <c r="C104" s="111" t="str">
        <f>IF($C$2=0,"",IF(ISERROR(VLOOKUP($C$2&amp;"-"&amp;$B104,'BD Seq Op'!$C:$H,2,FALSE)),"",VLOOKUP($C$2&amp;"-"&amp;$B104,'BD Seq Op'!$C:$H,2,FALSE)))</f>
        <v/>
      </c>
      <c r="D104" s="105" t="str">
        <f>IF($C$2=0,"",IF(ISERROR(VLOOKUP($C$2&amp;"-"&amp;$B104,'BD Seq Op'!$C:$H,3,FALSE)),"",VLOOKUP($C$2&amp;"-"&amp;$B104,'BD Seq Op'!$C:$H,3,FALSE)))</f>
        <v/>
      </c>
      <c r="E104" s="105" t="str">
        <f>IF($C$2=0,"",IF(ISERROR(VLOOKUP($C$2&amp;"-"&amp;$B104,'BD Seq Op'!$C:$H,4,FALSE)),"",VLOOKUP($C$2&amp;"-"&amp;$B104,'BD Seq Op'!$C:$H,4,FALSE)))</f>
        <v/>
      </c>
      <c r="F104" s="62" t="str">
        <f>IF($C$2=0,"",IF(ISERROR(VLOOKUP($C$2&amp;"-"&amp;$B104,'BD Seq Op'!$C:$H,5,FALSE)),"",VLOOKUP($C$2&amp;"-"&amp;$B104,'BD Seq Op'!$C:$H,5,FALSE)))</f>
        <v/>
      </c>
      <c r="G104" s="112" t="str">
        <f>IF(D104="","",VLOOKUP(D104,Máquinas!A:C,3,FALSE))</f>
        <v/>
      </c>
      <c r="H104" s="113" t="str">
        <f t="shared" si="6"/>
        <v/>
      </c>
      <c r="I104" s="62">
        <f t="shared" si="7"/>
        <v>0</v>
      </c>
      <c r="J104" s="62">
        <f t="shared" si="8"/>
        <v>0</v>
      </c>
      <c r="K104" s="7"/>
      <c r="L104" s="57"/>
      <c r="M104" s="57"/>
      <c r="N104" s="57"/>
      <c r="O104" s="57"/>
      <c r="P104" s="57"/>
      <c r="Q104" s="57"/>
      <c r="S104" s="57"/>
      <c r="T104" s="57"/>
      <c r="U104" s="57"/>
      <c r="V104" s="57"/>
      <c r="W104" s="57"/>
      <c r="X104" s="57"/>
      <c r="Y104" s="57"/>
      <c r="Z104" s="57"/>
      <c r="AA104" s="57"/>
      <c r="AB104" s="57"/>
      <c r="AC104" s="57"/>
    </row>
    <row r="105" spans="1:29" ht="18" customHeight="1" x14ac:dyDescent="0.25">
      <c r="A105" s="32" t="str">
        <f t="shared" si="5"/>
        <v>Não</v>
      </c>
      <c r="B105" s="106">
        <v>100</v>
      </c>
      <c r="C105" s="111" t="str">
        <f>IF($C$2=0,"",IF(ISERROR(VLOOKUP($C$2&amp;"-"&amp;$B105,'BD Seq Op'!$C:$H,2,FALSE)),"",VLOOKUP($C$2&amp;"-"&amp;$B105,'BD Seq Op'!$C:$H,2,FALSE)))</f>
        <v/>
      </c>
      <c r="D105" s="105" t="str">
        <f>IF($C$2=0,"",IF(ISERROR(VLOOKUP($C$2&amp;"-"&amp;$B105,'BD Seq Op'!$C:$H,3,FALSE)),"",VLOOKUP($C$2&amp;"-"&amp;$B105,'BD Seq Op'!$C:$H,3,FALSE)))</f>
        <v/>
      </c>
      <c r="E105" s="105" t="str">
        <f>IF($C$2=0,"",IF(ISERROR(VLOOKUP($C$2&amp;"-"&amp;$B105,'BD Seq Op'!$C:$H,4,FALSE)),"",VLOOKUP($C$2&amp;"-"&amp;$B105,'BD Seq Op'!$C:$H,4,FALSE)))</f>
        <v/>
      </c>
      <c r="F105" s="62" t="str">
        <f>IF($C$2=0,"",IF(ISERROR(VLOOKUP($C$2&amp;"-"&amp;$B105,'BD Seq Op'!$C:$H,5,FALSE)),"",VLOOKUP($C$2&amp;"-"&amp;$B105,'BD Seq Op'!$C:$H,5,FALSE)))</f>
        <v/>
      </c>
      <c r="G105" s="112" t="str">
        <f>IF(D105="","",VLOOKUP(D105,Máquinas!A:C,3,FALSE))</f>
        <v/>
      </c>
      <c r="H105" s="113" t="str">
        <f t="shared" si="6"/>
        <v/>
      </c>
      <c r="I105" s="62">
        <f t="shared" si="7"/>
        <v>0</v>
      </c>
      <c r="J105" s="62">
        <f t="shared" si="8"/>
        <v>0</v>
      </c>
      <c r="K105" s="7"/>
      <c r="L105" s="57"/>
      <c r="M105" s="57"/>
      <c r="N105" s="57"/>
      <c r="O105" s="57"/>
      <c r="P105" s="57"/>
      <c r="Q105" s="57"/>
      <c r="S105" s="57"/>
      <c r="T105" s="57"/>
      <c r="U105" s="57"/>
      <c r="V105" s="57"/>
      <c r="W105" s="57"/>
      <c r="X105" s="57"/>
      <c r="Y105" s="57"/>
      <c r="Z105" s="57"/>
      <c r="AA105" s="57"/>
      <c r="AB105" s="57"/>
      <c r="AC105" s="57"/>
    </row>
    <row r="106" spans="1:29" ht="18" customHeight="1" x14ac:dyDescent="0.25">
      <c r="A106" s="32" t="str">
        <f t="shared" si="5"/>
        <v>Não</v>
      </c>
      <c r="B106" s="105">
        <v>101</v>
      </c>
      <c r="C106" s="111" t="str">
        <f>IF($C$2=0,"",IF(ISERROR(VLOOKUP($C$2&amp;"-"&amp;$B106,'BD Seq Op'!$C:$H,2,FALSE)),"",VLOOKUP($C$2&amp;"-"&amp;$B106,'BD Seq Op'!$C:$H,2,FALSE)))</f>
        <v/>
      </c>
      <c r="D106" s="105" t="str">
        <f>IF($C$2=0,"",IF(ISERROR(VLOOKUP($C$2&amp;"-"&amp;$B106,'BD Seq Op'!$C:$H,3,FALSE)),"",VLOOKUP($C$2&amp;"-"&amp;$B106,'BD Seq Op'!$C:$H,3,FALSE)))</f>
        <v/>
      </c>
      <c r="E106" s="105" t="str">
        <f>IF($C$2=0,"",IF(ISERROR(VLOOKUP($C$2&amp;"-"&amp;$B106,'BD Seq Op'!$C:$H,4,FALSE)),"",VLOOKUP($C$2&amp;"-"&amp;$B106,'BD Seq Op'!$C:$H,4,FALSE)))</f>
        <v/>
      </c>
      <c r="F106" s="62" t="str">
        <f>IF($C$2=0,"",IF(ISERROR(VLOOKUP($C$2&amp;"-"&amp;$B106,'BD Seq Op'!$C:$H,5,FALSE)),"",VLOOKUP($C$2&amp;"-"&amp;$B106,'BD Seq Op'!$C:$H,5,FALSE)))</f>
        <v/>
      </c>
      <c r="G106" s="112" t="str">
        <f>IF(D106="","",VLOOKUP(D106,Máquinas!A:C,3,FALSE))</f>
        <v/>
      </c>
      <c r="H106" s="113" t="str">
        <f t="shared" si="6"/>
        <v/>
      </c>
      <c r="I106" s="62">
        <f t="shared" si="7"/>
        <v>0</v>
      </c>
      <c r="J106" s="62">
        <f t="shared" si="8"/>
        <v>0</v>
      </c>
      <c r="K106" s="7"/>
      <c r="L106" s="57"/>
      <c r="M106" s="57"/>
      <c r="N106" s="57"/>
      <c r="O106" s="57"/>
      <c r="P106" s="57"/>
      <c r="Q106" s="57"/>
      <c r="S106" s="57"/>
      <c r="T106" s="57"/>
      <c r="U106" s="57"/>
      <c r="V106" s="57"/>
      <c r="W106" s="57"/>
      <c r="X106" s="57"/>
      <c r="Y106" s="57"/>
      <c r="Z106" s="57"/>
      <c r="AA106" s="57"/>
      <c r="AB106" s="57"/>
      <c r="AC106" s="57"/>
    </row>
    <row r="107" spans="1:29" ht="18" customHeight="1" x14ac:dyDescent="0.25">
      <c r="A107" s="32" t="str">
        <f t="shared" si="5"/>
        <v>Não</v>
      </c>
      <c r="B107" s="106">
        <v>102</v>
      </c>
      <c r="C107" s="111" t="str">
        <f>IF($C$2=0,"",IF(ISERROR(VLOOKUP($C$2&amp;"-"&amp;$B107,'BD Seq Op'!$C:$H,2,FALSE)),"",VLOOKUP($C$2&amp;"-"&amp;$B107,'BD Seq Op'!$C:$H,2,FALSE)))</f>
        <v/>
      </c>
      <c r="D107" s="105" t="str">
        <f>IF($C$2=0,"",IF(ISERROR(VLOOKUP($C$2&amp;"-"&amp;$B107,'BD Seq Op'!$C:$H,3,FALSE)),"",VLOOKUP($C$2&amp;"-"&amp;$B107,'BD Seq Op'!$C:$H,3,FALSE)))</f>
        <v/>
      </c>
      <c r="E107" s="105" t="str">
        <f>IF($C$2=0,"",IF(ISERROR(VLOOKUP($C$2&amp;"-"&amp;$B107,'BD Seq Op'!$C:$H,4,FALSE)),"",VLOOKUP($C$2&amp;"-"&amp;$B107,'BD Seq Op'!$C:$H,4,FALSE)))</f>
        <v/>
      </c>
      <c r="F107" s="62" t="str">
        <f>IF($C$2=0,"",IF(ISERROR(VLOOKUP($C$2&amp;"-"&amp;$B107,'BD Seq Op'!$C:$H,5,FALSE)),"",VLOOKUP($C$2&amp;"-"&amp;$B107,'BD Seq Op'!$C:$H,5,FALSE)))</f>
        <v/>
      </c>
      <c r="G107" s="112" t="str">
        <f>IF(D107="","",VLOOKUP(D107,Máquinas!A:C,3,FALSE))</f>
        <v/>
      </c>
      <c r="H107" s="113" t="str">
        <f t="shared" si="6"/>
        <v/>
      </c>
      <c r="I107" s="62">
        <f t="shared" si="7"/>
        <v>0</v>
      </c>
      <c r="J107" s="62">
        <f t="shared" si="8"/>
        <v>0</v>
      </c>
      <c r="K107" s="7"/>
      <c r="L107" s="57"/>
      <c r="M107" s="57"/>
      <c r="N107" s="57"/>
      <c r="O107" s="57"/>
      <c r="P107" s="57"/>
      <c r="Q107" s="57"/>
      <c r="S107" s="57"/>
      <c r="T107" s="57"/>
      <c r="U107" s="57"/>
      <c r="V107" s="57"/>
      <c r="W107" s="57"/>
      <c r="X107" s="57"/>
      <c r="Y107" s="57"/>
      <c r="Z107" s="57"/>
      <c r="AA107" s="57"/>
      <c r="AB107" s="57"/>
      <c r="AC107" s="57"/>
    </row>
    <row r="108" spans="1:29" ht="18" customHeight="1" x14ac:dyDescent="0.25">
      <c r="A108" s="32" t="str">
        <f t="shared" si="5"/>
        <v>Não</v>
      </c>
      <c r="B108" s="105">
        <v>103</v>
      </c>
      <c r="C108" s="111" t="str">
        <f>IF($C$2=0,"",IF(ISERROR(VLOOKUP($C$2&amp;"-"&amp;$B108,'BD Seq Op'!$C:$H,2,FALSE)),"",VLOOKUP($C$2&amp;"-"&amp;$B108,'BD Seq Op'!$C:$H,2,FALSE)))</f>
        <v/>
      </c>
      <c r="D108" s="105" t="str">
        <f>IF($C$2=0,"",IF(ISERROR(VLOOKUP($C$2&amp;"-"&amp;$B108,'BD Seq Op'!$C:$H,3,FALSE)),"",VLOOKUP($C$2&amp;"-"&amp;$B108,'BD Seq Op'!$C:$H,3,FALSE)))</f>
        <v/>
      </c>
      <c r="E108" s="105" t="str">
        <f>IF($C$2=0,"",IF(ISERROR(VLOOKUP($C$2&amp;"-"&amp;$B108,'BD Seq Op'!$C:$H,4,FALSE)),"",VLOOKUP($C$2&amp;"-"&amp;$B108,'BD Seq Op'!$C:$H,4,FALSE)))</f>
        <v/>
      </c>
      <c r="F108" s="62" t="str">
        <f>IF($C$2=0,"",IF(ISERROR(VLOOKUP($C$2&amp;"-"&amp;$B108,'BD Seq Op'!$C:$H,5,FALSE)),"",VLOOKUP($C$2&amp;"-"&amp;$B108,'BD Seq Op'!$C:$H,5,FALSE)))</f>
        <v/>
      </c>
      <c r="G108" s="112" t="str">
        <f>IF(D108="","",VLOOKUP(D108,Máquinas!A:C,3,FALSE))</f>
        <v/>
      </c>
      <c r="H108" s="113" t="str">
        <f t="shared" si="6"/>
        <v/>
      </c>
      <c r="I108" s="62">
        <f t="shared" si="7"/>
        <v>0</v>
      </c>
      <c r="J108" s="62">
        <f t="shared" si="8"/>
        <v>0</v>
      </c>
      <c r="K108" s="7"/>
      <c r="L108" s="57"/>
      <c r="M108" s="57"/>
      <c r="N108" s="57"/>
      <c r="O108" s="57"/>
      <c r="P108" s="57"/>
      <c r="Q108" s="57"/>
      <c r="S108" s="57"/>
      <c r="T108" s="57"/>
      <c r="U108" s="57"/>
      <c r="V108" s="57"/>
      <c r="W108" s="57"/>
      <c r="X108" s="57"/>
      <c r="Y108" s="57"/>
      <c r="Z108" s="57"/>
      <c r="AA108" s="57"/>
      <c r="AB108" s="57"/>
      <c r="AC108" s="57"/>
    </row>
    <row r="109" spans="1:29" ht="18" customHeight="1" x14ac:dyDescent="0.25">
      <c r="A109" s="32" t="str">
        <f t="shared" si="5"/>
        <v>Não</v>
      </c>
      <c r="B109" s="106">
        <v>104</v>
      </c>
      <c r="C109" s="111" t="str">
        <f>IF($C$2=0,"",IF(ISERROR(VLOOKUP($C$2&amp;"-"&amp;$B109,'BD Seq Op'!$C:$H,2,FALSE)),"",VLOOKUP($C$2&amp;"-"&amp;$B109,'BD Seq Op'!$C:$H,2,FALSE)))</f>
        <v/>
      </c>
      <c r="D109" s="105" t="str">
        <f>IF($C$2=0,"",IF(ISERROR(VLOOKUP($C$2&amp;"-"&amp;$B109,'BD Seq Op'!$C:$H,3,FALSE)),"",VLOOKUP($C$2&amp;"-"&amp;$B109,'BD Seq Op'!$C:$H,3,FALSE)))</f>
        <v/>
      </c>
      <c r="E109" s="105" t="str">
        <f>IF($C$2=0,"",IF(ISERROR(VLOOKUP($C$2&amp;"-"&amp;$B109,'BD Seq Op'!$C:$H,4,FALSE)),"",VLOOKUP($C$2&amp;"-"&amp;$B109,'BD Seq Op'!$C:$H,4,FALSE)))</f>
        <v/>
      </c>
      <c r="F109" s="62" t="str">
        <f>IF($C$2=0,"",IF(ISERROR(VLOOKUP($C$2&amp;"-"&amp;$B109,'BD Seq Op'!$C:$H,5,FALSE)),"",VLOOKUP($C$2&amp;"-"&amp;$B109,'BD Seq Op'!$C:$H,5,FALSE)))</f>
        <v/>
      </c>
      <c r="G109" s="112" t="str">
        <f>IF(D109="","",VLOOKUP(D109,Máquinas!A:C,3,FALSE))</f>
        <v/>
      </c>
      <c r="H109" s="113" t="str">
        <f t="shared" si="6"/>
        <v/>
      </c>
      <c r="I109" s="62">
        <f t="shared" si="7"/>
        <v>0</v>
      </c>
      <c r="J109" s="62">
        <f t="shared" si="8"/>
        <v>0</v>
      </c>
      <c r="K109" s="7"/>
      <c r="L109" s="57"/>
      <c r="M109" s="57"/>
      <c r="N109" s="57"/>
      <c r="O109" s="57"/>
      <c r="P109" s="57"/>
      <c r="Q109" s="57"/>
      <c r="S109" s="57"/>
      <c r="T109" s="57"/>
      <c r="U109" s="57"/>
      <c r="V109" s="57"/>
      <c r="W109" s="57"/>
      <c r="X109" s="57"/>
      <c r="Y109" s="57"/>
      <c r="Z109" s="57"/>
      <c r="AA109" s="57"/>
      <c r="AB109" s="57"/>
      <c r="AC109" s="57"/>
    </row>
    <row r="110" spans="1:29" ht="18" customHeight="1" x14ac:dyDescent="0.25">
      <c r="A110" s="32" t="str">
        <f t="shared" si="5"/>
        <v>Não</v>
      </c>
      <c r="B110" s="105">
        <v>105</v>
      </c>
      <c r="C110" s="111" t="str">
        <f>IF($C$2=0,"",IF(ISERROR(VLOOKUP($C$2&amp;"-"&amp;$B110,'BD Seq Op'!$C:$H,2,FALSE)),"",VLOOKUP($C$2&amp;"-"&amp;$B110,'BD Seq Op'!$C:$H,2,FALSE)))</f>
        <v/>
      </c>
      <c r="D110" s="105" t="str">
        <f>IF($C$2=0,"",IF(ISERROR(VLOOKUP($C$2&amp;"-"&amp;$B110,'BD Seq Op'!$C:$H,3,FALSE)),"",VLOOKUP($C$2&amp;"-"&amp;$B110,'BD Seq Op'!$C:$H,3,FALSE)))</f>
        <v/>
      </c>
      <c r="E110" s="105" t="str">
        <f>IF($C$2=0,"",IF(ISERROR(VLOOKUP($C$2&amp;"-"&amp;$B110,'BD Seq Op'!$C:$H,4,FALSE)),"",VLOOKUP($C$2&amp;"-"&amp;$B110,'BD Seq Op'!$C:$H,4,FALSE)))</f>
        <v/>
      </c>
      <c r="F110" s="62" t="str">
        <f>IF($C$2=0,"",IF(ISERROR(VLOOKUP($C$2&amp;"-"&amp;$B110,'BD Seq Op'!$C:$H,5,FALSE)),"",VLOOKUP($C$2&amp;"-"&amp;$B110,'BD Seq Op'!$C:$H,5,FALSE)))</f>
        <v/>
      </c>
      <c r="G110" s="112" t="str">
        <f>IF(D110="","",VLOOKUP(D110,Máquinas!A:C,3,FALSE))</f>
        <v/>
      </c>
      <c r="H110" s="113" t="str">
        <f t="shared" si="6"/>
        <v/>
      </c>
      <c r="I110" s="62">
        <f t="shared" si="7"/>
        <v>0</v>
      </c>
      <c r="J110" s="62">
        <f t="shared" si="8"/>
        <v>0</v>
      </c>
      <c r="K110" s="7"/>
      <c r="L110" s="57"/>
      <c r="M110" s="57"/>
      <c r="N110" s="57"/>
      <c r="O110" s="57"/>
      <c r="P110" s="57"/>
      <c r="Q110" s="57"/>
      <c r="S110" s="57"/>
      <c r="T110" s="57"/>
      <c r="U110" s="57"/>
      <c r="V110" s="57"/>
      <c r="W110" s="57"/>
      <c r="X110" s="57"/>
      <c r="Y110" s="57"/>
      <c r="Z110" s="57"/>
      <c r="AA110" s="57"/>
      <c r="AB110" s="57"/>
      <c r="AC110" s="57"/>
    </row>
    <row r="111" spans="1:29" ht="18" customHeight="1" x14ac:dyDescent="0.25">
      <c r="A111" s="32" t="str">
        <f t="shared" si="5"/>
        <v>Não</v>
      </c>
      <c r="B111" s="106">
        <v>106</v>
      </c>
      <c r="C111" s="111" t="str">
        <f>IF($C$2=0,"",IF(ISERROR(VLOOKUP($C$2&amp;"-"&amp;$B111,'BD Seq Op'!$C:$H,2,FALSE)),"",VLOOKUP($C$2&amp;"-"&amp;$B111,'BD Seq Op'!$C:$H,2,FALSE)))</f>
        <v/>
      </c>
      <c r="D111" s="105" t="str">
        <f>IF($C$2=0,"",IF(ISERROR(VLOOKUP($C$2&amp;"-"&amp;$B111,'BD Seq Op'!$C:$H,3,FALSE)),"",VLOOKUP($C$2&amp;"-"&amp;$B111,'BD Seq Op'!$C:$H,3,FALSE)))</f>
        <v/>
      </c>
      <c r="E111" s="105" t="str">
        <f>IF($C$2=0,"",IF(ISERROR(VLOOKUP($C$2&amp;"-"&amp;$B111,'BD Seq Op'!$C:$H,4,FALSE)),"",VLOOKUP($C$2&amp;"-"&amp;$B111,'BD Seq Op'!$C:$H,4,FALSE)))</f>
        <v/>
      </c>
      <c r="F111" s="62" t="str">
        <f>IF($C$2=0,"",IF(ISERROR(VLOOKUP($C$2&amp;"-"&amp;$B111,'BD Seq Op'!$C:$H,5,FALSE)),"",VLOOKUP($C$2&amp;"-"&amp;$B111,'BD Seq Op'!$C:$H,5,FALSE)))</f>
        <v/>
      </c>
      <c r="G111" s="112" t="str">
        <f>IF(D111="","",VLOOKUP(D111,Máquinas!A:C,3,FALSE))</f>
        <v/>
      </c>
      <c r="H111" s="113" t="str">
        <f t="shared" si="6"/>
        <v/>
      </c>
      <c r="I111" s="62">
        <f t="shared" si="7"/>
        <v>0</v>
      </c>
      <c r="J111" s="62">
        <f t="shared" si="8"/>
        <v>0</v>
      </c>
      <c r="K111" s="7"/>
      <c r="L111" s="57"/>
      <c r="M111" s="57"/>
      <c r="N111" s="57"/>
      <c r="O111" s="57"/>
      <c r="P111" s="57"/>
      <c r="Q111" s="57"/>
      <c r="S111" s="57"/>
      <c r="T111" s="57"/>
      <c r="U111" s="57"/>
      <c r="V111" s="57"/>
      <c r="W111" s="57"/>
      <c r="X111" s="57"/>
      <c r="Y111" s="57"/>
      <c r="Z111" s="57"/>
      <c r="AA111" s="57"/>
      <c r="AB111" s="57"/>
      <c r="AC111" s="57"/>
    </row>
    <row r="112" spans="1:29" ht="18" customHeight="1" x14ac:dyDescent="0.25">
      <c r="A112" s="32" t="str">
        <f t="shared" si="5"/>
        <v>Não</v>
      </c>
      <c r="B112" s="105">
        <v>107</v>
      </c>
      <c r="C112" s="111" t="str">
        <f>IF($C$2=0,"",IF(ISERROR(VLOOKUP($C$2&amp;"-"&amp;$B112,'BD Seq Op'!$C:$H,2,FALSE)),"",VLOOKUP($C$2&amp;"-"&amp;$B112,'BD Seq Op'!$C:$H,2,FALSE)))</f>
        <v/>
      </c>
      <c r="D112" s="105" t="str">
        <f>IF($C$2=0,"",IF(ISERROR(VLOOKUP($C$2&amp;"-"&amp;$B112,'BD Seq Op'!$C:$H,3,FALSE)),"",VLOOKUP($C$2&amp;"-"&amp;$B112,'BD Seq Op'!$C:$H,3,FALSE)))</f>
        <v/>
      </c>
      <c r="E112" s="105" t="str">
        <f>IF($C$2=0,"",IF(ISERROR(VLOOKUP($C$2&amp;"-"&amp;$B112,'BD Seq Op'!$C:$H,4,FALSE)),"",VLOOKUP($C$2&amp;"-"&amp;$B112,'BD Seq Op'!$C:$H,4,FALSE)))</f>
        <v/>
      </c>
      <c r="F112" s="62" t="str">
        <f>IF($C$2=0,"",IF(ISERROR(VLOOKUP($C$2&amp;"-"&amp;$B112,'BD Seq Op'!$C:$H,5,FALSE)),"",VLOOKUP($C$2&amp;"-"&amp;$B112,'BD Seq Op'!$C:$H,5,FALSE)))</f>
        <v/>
      </c>
      <c r="G112" s="112" t="str">
        <f>IF(D112="","",VLOOKUP(D112,Máquinas!A:C,3,FALSE))</f>
        <v/>
      </c>
      <c r="H112" s="113" t="str">
        <f t="shared" si="6"/>
        <v/>
      </c>
      <c r="I112" s="62">
        <f t="shared" si="7"/>
        <v>0</v>
      </c>
      <c r="J112" s="62">
        <f t="shared" si="8"/>
        <v>0</v>
      </c>
      <c r="K112" s="7"/>
      <c r="L112" s="57"/>
      <c r="M112" s="57"/>
      <c r="N112" s="57"/>
      <c r="O112" s="57"/>
      <c r="P112" s="57"/>
      <c r="Q112" s="57"/>
      <c r="S112" s="57"/>
      <c r="T112" s="57"/>
      <c r="U112" s="57"/>
      <c r="V112" s="57"/>
      <c r="W112" s="57"/>
      <c r="X112" s="57"/>
      <c r="Y112" s="57"/>
      <c r="Z112" s="57"/>
      <c r="AA112" s="57"/>
      <c r="AB112" s="57"/>
      <c r="AC112" s="57"/>
    </row>
    <row r="113" spans="1:29" ht="18" customHeight="1" x14ac:dyDescent="0.25">
      <c r="A113" s="32" t="str">
        <f t="shared" si="5"/>
        <v>Não</v>
      </c>
      <c r="B113" s="106">
        <v>108</v>
      </c>
      <c r="C113" s="111" t="str">
        <f>IF($C$2=0,"",IF(ISERROR(VLOOKUP($C$2&amp;"-"&amp;$B113,'BD Seq Op'!$C:$H,2,FALSE)),"",VLOOKUP($C$2&amp;"-"&amp;$B113,'BD Seq Op'!$C:$H,2,FALSE)))</f>
        <v/>
      </c>
      <c r="D113" s="105" t="str">
        <f>IF($C$2=0,"",IF(ISERROR(VLOOKUP($C$2&amp;"-"&amp;$B113,'BD Seq Op'!$C:$H,3,FALSE)),"",VLOOKUP($C$2&amp;"-"&amp;$B113,'BD Seq Op'!$C:$H,3,FALSE)))</f>
        <v/>
      </c>
      <c r="E113" s="105" t="str">
        <f>IF($C$2=0,"",IF(ISERROR(VLOOKUP($C$2&amp;"-"&amp;$B113,'BD Seq Op'!$C:$H,4,FALSE)),"",VLOOKUP($C$2&amp;"-"&amp;$B113,'BD Seq Op'!$C:$H,4,FALSE)))</f>
        <v/>
      </c>
      <c r="F113" s="62" t="str">
        <f>IF($C$2=0,"",IF(ISERROR(VLOOKUP($C$2&amp;"-"&amp;$B113,'BD Seq Op'!$C:$H,5,FALSE)),"",VLOOKUP($C$2&amp;"-"&amp;$B113,'BD Seq Op'!$C:$H,5,FALSE)))</f>
        <v/>
      </c>
      <c r="G113" s="112" t="str">
        <f>IF(D113="","",VLOOKUP(D113,Máquinas!A:C,3,FALSE))</f>
        <v/>
      </c>
      <c r="H113" s="113" t="str">
        <f t="shared" si="6"/>
        <v/>
      </c>
      <c r="I113" s="62">
        <f t="shared" si="7"/>
        <v>0</v>
      </c>
      <c r="J113" s="62">
        <f t="shared" si="8"/>
        <v>0</v>
      </c>
      <c r="K113" s="7"/>
      <c r="L113" s="57"/>
      <c r="M113" s="57"/>
      <c r="N113" s="57"/>
      <c r="O113" s="57"/>
      <c r="P113" s="57"/>
      <c r="Q113" s="57"/>
      <c r="S113" s="57"/>
      <c r="T113" s="57"/>
      <c r="U113" s="57"/>
      <c r="V113" s="57"/>
      <c r="W113" s="57"/>
      <c r="X113" s="57"/>
      <c r="Y113" s="57"/>
      <c r="Z113" s="57"/>
      <c r="AA113" s="57"/>
      <c r="AB113" s="57"/>
      <c r="AC113" s="57"/>
    </row>
    <row r="114" spans="1:29" ht="18" customHeight="1" x14ac:dyDescent="0.25">
      <c r="A114" s="32" t="str">
        <f t="shared" si="5"/>
        <v>Não</v>
      </c>
      <c r="B114" s="105">
        <v>109</v>
      </c>
      <c r="C114" s="111" t="str">
        <f>IF($C$2=0,"",IF(ISERROR(VLOOKUP($C$2&amp;"-"&amp;$B114,'BD Seq Op'!$C:$H,2,FALSE)),"",VLOOKUP($C$2&amp;"-"&amp;$B114,'BD Seq Op'!$C:$H,2,FALSE)))</f>
        <v/>
      </c>
      <c r="D114" s="105" t="str">
        <f>IF($C$2=0,"",IF(ISERROR(VLOOKUP($C$2&amp;"-"&amp;$B114,'BD Seq Op'!$C:$H,3,FALSE)),"",VLOOKUP($C$2&amp;"-"&amp;$B114,'BD Seq Op'!$C:$H,3,FALSE)))</f>
        <v/>
      </c>
      <c r="E114" s="105" t="str">
        <f>IF($C$2=0,"",IF(ISERROR(VLOOKUP($C$2&amp;"-"&amp;$B114,'BD Seq Op'!$C:$H,4,FALSE)),"",VLOOKUP($C$2&amp;"-"&amp;$B114,'BD Seq Op'!$C:$H,4,FALSE)))</f>
        <v/>
      </c>
      <c r="F114" s="62" t="str">
        <f>IF($C$2=0,"",IF(ISERROR(VLOOKUP($C$2&amp;"-"&amp;$B114,'BD Seq Op'!$C:$H,5,FALSE)),"",VLOOKUP($C$2&amp;"-"&amp;$B114,'BD Seq Op'!$C:$H,5,FALSE)))</f>
        <v/>
      </c>
      <c r="G114" s="112" t="str">
        <f>IF(D114="","",VLOOKUP(D114,Máquinas!A:C,3,FALSE))</f>
        <v/>
      </c>
      <c r="H114" s="113" t="str">
        <f t="shared" si="6"/>
        <v/>
      </c>
      <c r="I114" s="62">
        <f t="shared" si="7"/>
        <v>0</v>
      </c>
      <c r="J114" s="62">
        <f t="shared" si="8"/>
        <v>0</v>
      </c>
      <c r="K114" s="7"/>
      <c r="L114" s="57"/>
      <c r="M114" s="57"/>
      <c r="N114" s="57"/>
      <c r="O114" s="57"/>
      <c r="P114" s="57"/>
      <c r="Q114" s="57"/>
      <c r="S114" s="57"/>
      <c r="T114" s="57"/>
      <c r="U114" s="57"/>
      <c r="V114" s="57"/>
      <c r="W114" s="57"/>
      <c r="X114" s="57"/>
      <c r="Y114" s="57"/>
      <c r="Z114" s="57"/>
      <c r="AA114" s="57"/>
      <c r="AB114" s="57"/>
      <c r="AC114" s="57"/>
    </row>
    <row r="115" spans="1:29" ht="18" customHeight="1" x14ac:dyDescent="0.25">
      <c r="A115" s="32" t="str">
        <f t="shared" si="5"/>
        <v>Não</v>
      </c>
      <c r="B115" s="106">
        <v>110</v>
      </c>
      <c r="C115" s="111" t="str">
        <f>IF($C$2=0,"",IF(ISERROR(VLOOKUP($C$2&amp;"-"&amp;$B115,'BD Seq Op'!$C:$H,2,FALSE)),"",VLOOKUP($C$2&amp;"-"&amp;$B115,'BD Seq Op'!$C:$H,2,FALSE)))</f>
        <v/>
      </c>
      <c r="D115" s="105" t="str">
        <f>IF($C$2=0,"",IF(ISERROR(VLOOKUP($C$2&amp;"-"&amp;$B115,'BD Seq Op'!$C:$H,3,FALSE)),"",VLOOKUP($C$2&amp;"-"&amp;$B115,'BD Seq Op'!$C:$H,3,FALSE)))</f>
        <v/>
      </c>
      <c r="E115" s="105" t="str">
        <f>IF($C$2=0,"",IF(ISERROR(VLOOKUP($C$2&amp;"-"&amp;$B115,'BD Seq Op'!$C:$H,4,FALSE)),"",VLOOKUP($C$2&amp;"-"&amp;$B115,'BD Seq Op'!$C:$H,4,FALSE)))</f>
        <v/>
      </c>
      <c r="F115" s="62" t="str">
        <f>IF($C$2=0,"",IF(ISERROR(VLOOKUP($C$2&amp;"-"&amp;$B115,'BD Seq Op'!$C:$H,5,FALSE)),"",VLOOKUP($C$2&amp;"-"&amp;$B115,'BD Seq Op'!$C:$H,5,FALSE)))</f>
        <v/>
      </c>
      <c r="G115" s="112" t="str">
        <f>IF(D115="","",VLOOKUP(D115,Máquinas!A:C,3,FALSE))</f>
        <v/>
      </c>
      <c r="H115" s="113" t="str">
        <f t="shared" si="6"/>
        <v/>
      </c>
      <c r="I115" s="62">
        <f t="shared" si="7"/>
        <v>0</v>
      </c>
      <c r="J115" s="62">
        <f t="shared" si="8"/>
        <v>0</v>
      </c>
      <c r="K115" s="7"/>
      <c r="L115" s="57"/>
      <c r="M115" s="57"/>
      <c r="N115" s="57"/>
      <c r="O115" s="57"/>
      <c r="P115" s="57"/>
      <c r="Q115" s="57"/>
      <c r="S115" s="57"/>
      <c r="T115" s="57"/>
      <c r="U115" s="57"/>
      <c r="V115" s="57"/>
      <c r="W115" s="57"/>
      <c r="X115" s="57"/>
      <c r="Y115" s="57"/>
      <c r="Z115" s="57"/>
      <c r="AA115" s="57"/>
      <c r="AB115" s="57"/>
      <c r="AC115" s="57"/>
    </row>
    <row r="116" spans="1:29" ht="18" customHeight="1" x14ac:dyDescent="0.25">
      <c r="A116" s="32" t="str">
        <f t="shared" si="5"/>
        <v>Não</v>
      </c>
      <c r="B116" s="105">
        <v>111</v>
      </c>
      <c r="C116" s="111" t="str">
        <f>IF($C$2=0,"",IF(ISERROR(VLOOKUP($C$2&amp;"-"&amp;$B116,'BD Seq Op'!$C:$H,2,FALSE)),"",VLOOKUP($C$2&amp;"-"&amp;$B116,'BD Seq Op'!$C:$H,2,FALSE)))</f>
        <v/>
      </c>
      <c r="D116" s="105" t="str">
        <f>IF($C$2=0,"",IF(ISERROR(VLOOKUP($C$2&amp;"-"&amp;$B116,'BD Seq Op'!$C:$H,3,FALSE)),"",VLOOKUP($C$2&amp;"-"&amp;$B116,'BD Seq Op'!$C:$H,3,FALSE)))</f>
        <v/>
      </c>
      <c r="E116" s="105" t="str">
        <f>IF($C$2=0,"",IF(ISERROR(VLOOKUP($C$2&amp;"-"&amp;$B116,'BD Seq Op'!$C:$H,4,FALSE)),"",VLOOKUP($C$2&amp;"-"&amp;$B116,'BD Seq Op'!$C:$H,4,FALSE)))</f>
        <v/>
      </c>
      <c r="F116" s="62" t="str">
        <f>IF($C$2=0,"",IF(ISERROR(VLOOKUP($C$2&amp;"-"&amp;$B116,'BD Seq Op'!$C:$H,5,FALSE)),"",VLOOKUP($C$2&amp;"-"&amp;$B116,'BD Seq Op'!$C:$H,5,FALSE)))</f>
        <v/>
      </c>
      <c r="G116" s="112" t="str">
        <f>IF(D116="","",VLOOKUP(D116,Máquinas!A:C,3,FALSE))</f>
        <v/>
      </c>
      <c r="H116" s="113" t="str">
        <f t="shared" si="6"/>
        <v/>
      </c>
      <c r="I116" s="62">
        <f t="shared" si="7"/>
        <v>0</v>
      </c>
      <c r="J116" s="62">
        <f t="shared" si="8"/>
        <v>0</v>
      </c>
      <c r="K116" s="7"/>
      <c r="L116" s="57"/>
      <c r="M116" s="57"/>
      <c r="N116" s="57"/>
      <c r="O116" s="57"/>
      <c r="P116" s="57"/>
      <c r="Q116" s="57"/>
      <c r="S116" s="57"/>
      <c r="T116" s="57"/>
      <c r="U116" s="57"/>
      <c r="V116" s="57"/>
      <c r="W116" s="57"/>
      <c r="X116" s="57"/>
      <c r="Y116" s="57"/>
      <c r="Z116" s="57"/>
      <c r="AA116" s="57"/>
      <c r="AB116" s="57"/>
      <c r="AC116" s="57"/>
    </row>
    <row r="117" spans="1:29" ht="18" customHeight="1" x14ac:dyDescent="0.25">
      <c r="A117" s="32" t="str">
        <f t="shared" si="5"/>
        <v>Não</v>
      </c>
      <c r="B117" s="106">
        <v>112</v>
      </c>
      <c r="C117" s="111" t="str">
        <f>IF($C$2=0,"",IF(ISERROR(VLOOKUP($C$2&amp;"-"&amp;$B117,'BD Seq Op'!$C:$H,2,FALSE)),"",VLOOKUP($C$2&amp;"-"&amp;$B117,'BD Seq Op'!$C:$H,2,FALSE)))</f>
        <v/>
      </c>
      <c r="D117" s="105" t="str">
        <f>IF($C$2=0,"",IF(ISERROR(VLOOKUP($C$2&amp;"-"&amp;$B117,'BD Seq Op'!$C:$H,3,FALSE)),"",VLOOKUP($C$2&amp;"-"&amp;$B117,'BD Seq Op'!$C:$H,3,FALSE)))</f>
        <v/>
      </c>
      <c r="E117" s="105" t="str">
        <f>IF($C$2=0,"",IF(ISERROR(VLOOKUP($C$2&amp;"-"&amp;$B117,'BD Seq Op'!$C:$H,4,FALSE)),"",VLOOKUP($C$2&amp;"-"&amp;$B117,'BD Seq Op'!$C:$H,4,FALSE)))</f>
        <v/>
      </c>
      <c r="F117" s="62" t="str">
        <f>IF($C$2=0,"",IF(ISERROR(VLOOKUP($C$2&amp;"-"&amp;$B117,'BD Seq Op'!$C:$H,5,FALSE)),"",VLOOKUP($C$2&amp;"-"&amp;$B117,'BD Seq Op'!$C:$H,5,FALSE)))</f>
        <v/>
      </c>
      <c r="G117" s="112" t="str">
        <f>IF(D117="","",VLOOKUP(D117,Máquinas!A:C,3,FALSE))</f>
        <v/>
      </c>
      <c r="H117" s="113" t="str">
        <f t="shared" si="6"/>
        <v/>
      </c>
      <c r="I117" s="62">
        <f t="shared" si="7"/>
        <v>0</v>
      </c>
      <c r="J117" s="62">
        <f t="shared" si="8"/>
        <v>0</v>
      </c>
      <c r="K117" s="7"/>
      <c r="L117" s="57"/>
      <c r="M117" s="57"/>
      <c r="N117" s="57"/>
      <c r="O117" s="57"/>
      <c r="P117" s="57"/>
      <c r="Q117" s="57"/>
      <c r="S117" s="57"/>
      <c r="T117" s="57"/>
      <c r="U117" s="57"/>
      <c r="V117" s="57"/>
      <c r="W117" s="57"/>
      <c r="X117" s="57"/>
      <c r="Y117" s="57"/>
      <c r="Z117" s="57"/>
      <c r="AA117" s="57"/>
      <c r="AB117" s="57"/>
      <c r="AC117" s="57"/>
    </row>
    <row r="118" spans="1:29" ht="18" customHeight="1" x14ac:dyDescent="0.25">
      <c r="A118" s="32" t="str">
        <f t="shared" si="5"/>
        <v>Não</v>
      </c>
      <c r="B118" s="105">
        <v>113</v>
      </c>
      <c r="C118" s="111" t="str">
        <f>IF($C$2=0,"",IF(ISERROR(VLOOKUP($C$2&amp;"-"&amp;$B118,'BD Seq Op'!$C:$H,2,FALSE)),"",VLOOKUP($C$2&amp;"-"&amp;$B118,'BD Seq Op'!$C:$H,2,FALSE)))</f>
        <v/>
      </c>
      <c r="D118" s="105" t="str">
        <f>IF($C$2=0,"",IF(ISERROR(VLOOKUP($C$2&amp;"-"&amp;$B118,'BD Seq Op'!$C:$H,3,FALSE)),"",VLOOKUP($C$2&amp;"-"&amp;$B118,'BD Seq Op'!$C:$H,3,FALSE)))</f>
        <v/>
      </c>
      <c r="E118" s="105" t="str">
        <f>IF($C$2=0,"",IF(ISERROR(VLOOKUP($C$2&amp;"-"&amp;$B118,'BD Seq Op'!$C:$H,4,FALSE)),"",VLOOKUP($C$2&amp;"-"&amp;$B118,'BD Seq Op'!$C:$H,4,FALSE)))</f>
        <v/>
      </c>
      <c r="F118" s="62" t="str">
        <f>IF($C$2=0,"",IF(ISERROR(VLOOKUP($C$2&amp;"-"&amp;$B118,'BD Seq Op'!$C:$H,5,FALSE)),"",VLOOKUP($C$2&amp;"-"&amp;$B118,'BD Seq Op'!$C:$H,5,FALSE)))</f>
        <v/>
      </c>
      <c r="G118" s="112" t="str">
        <f>IF(D118="","",VLOOKUP(D118,Máquinas!A:C,3,FALSE))</f>
        <v/>
      </c>
      <c r="H118" s="113" t="str">
        <f t="shared" si="6"/>
        <v/>
      </c>
      <c r="I118" s="62">
        <f t="shared" si="7"/>
        <v>0</v>
      </c>
      <c r="J118" s="62">
        <f t="shared" si="8"/>
        <v>0</v>
      </c>
      <c r="K118" s="7"/>
      <c r="L118" s="57"/>
      <c r="M118" s="57"/>
      <c r="N118" s="57"/>
      <c r="O118" s="57"/>
      <c r="P118" s="57"/>
      <c r="Q118" s="57"/>
      <c r="S118" s="57"/>
      <c r="T118" s="57"/>
      <c r="U118" s="57"/>
      <c r="V118" s="57"/>
      <c r="W118" s="57"/>
      <c r="X118" s="57"/>
      <c r="Y118" s="57"/>
      <c r="Z118" s="57"/>
      <c r="AA118" s="57"/>
      <c r="AB118" s="57"/>
      <c r="AC118" s="57"/>
    </row>
    <row r="119" spans="1:29" ht="18" customHeight="1" x14ac:dyDescent="0.25">
      <c r="A119" s="32" t="str">
        <f t="shared" si="5"/>
        <v>Não</v>
      </c>
      <c r="B119" s="106">
        <v>114</v>
      </c>
      <c r="C119" s="111" t="str">
        <f>IF($C$2=0,"",IF(ISERROR(VLOOKUP($C$2&amp;"-"&amp;$B119,'BD Seq Op'!$C:$H,2,FALSE)),"",VLOOKUP($C$2&amp;"-"&amp;$B119,'BD Seq Op'!$C:$H,2,FALSE)))</f>
        <v/>
      </c>
      <c r="D119" s="105" t="str">
        <f>IF($C$2=0,"",IF(ISERROR(VLOOKUP($C$2&amp;"-"&amp;$B119,'BD Seq Op'!$C:$H,3,FALSE)),"",VLOOKUP($C$2&amp;"-"&amp;$B119,'BD Seq Op'!$C:$H,3,FALSE)))</f>
        <v/>
      </c>
      <c r="E119" s="105" t="str">
        <f>IF($C$2=0,"",IF(ISERROR(VLOOKUP($C$2&amp;"-"&amp;$B119,'BD Seq Op'!$C:$H,4,FALSE)),"",VLOOKUP($C$2&amp;"-"&amp;$B119,'BD Seq Op'!$C:$H,4,FALSE)))</f>
        <v/>
      </c>
      <c r="F119" s="62" t="str">
        <f>IF($C$2=0,"",IF(ISERROR(VLOOKUP($C$2&amp;"-"&amp;$B119,'BD Seq Op'!$C:$H,5,FALSE)),"",VLOOKUP($C$2&amp;"-"&amp;$B119,'BD Seq Op'!$C:$H,5,FALSE)))</f>
        <v/>
      </c>
      <c r="G119" s="112" t="str">
        <f>IF(D119="","",VLOOKUP(D119,Máquinas!A:C,3,FALSE))</f>
        <v/>
      </c>
      <c r="H119" s="113" t="str">
        <f t="shared" si="6"/>
        <v/>
      </c>
      <c r="I119" s="62">
        <f t="shared" si="7"/>
        <v>0</v>
      </c>
      <c r="J119" s="62">
        <f t="shared" si="8"/>
        <v>0</v>
      </c>
      <c r="K119" s="7"/>
      <c r="L119" s="57"/>
      <c r="M119" s="57"/>
      <c r="N119" s="57"/>
      <c r="O119" s="57"/>
      <c r="P119" s="57"/>
      <c r="Q119" s="57"/>
      <c r="S119" s="57"/>
      <c r="T119" s="57"/>
      <c r="U119" s="57"/>
      <c r="V119" s="57"/>
      <c r="W119" s="57"/>
      <c r="X119" s="57"/>
      <c r="Y119" s="57"/>
      <c r="Z119" s="57"/>
      <c r="AA119" s="57"/>
      <c r="AB119" s="57"/>
      <c r="AC119" s="57"/>
    </row>
    <row r="120" spans="1:29" ht="18" customHeight="1" x14ac:dyDescent="0.25">
      <c r="A120" s="32" t="str">
        <f t="shared" si="5"/>
        <v>Não</v>
      </c>
      <c r="B120" s="105">
        <v>115</v>
      </c>
      <c r="C120" s="111" t="str">
        <f>IF($C$2=0,"",IF(ISERROR(VLOOKUP($C$2&amp;"-"&amp;$B120,'BD Seq Op'!$C:$H,2,FALSE)),"",VLOOKUP($C$2&amp;"-"&amp;$B120,'BD Seq Op'!$C:$H,2,FALSE)))</f>
        <v/>
      </c>
      <c r="D120" s="105" t="str">
        <f>IF($C$2=0,"",IF(ISERROR(VLOOKUP($C$2&amp;"-"&amp;$B120,'BD Seq Op'!$C:$H,3,FALSE)),"",VLOOKUP($C$2&amp;"-"&amp;$B120,'BD Seq Op'!$C:$H,3,FALSE)))</f>
        <v/>
      </c>
      <c r="E120" s="105" t="str">
        <f>IF($C$2=0,"",IF(ISERROR(VLOOKUP($C$2&amp;"-"&amp;$B120,'BD Seq Op'!$C:$H,4,FALSE)),"",VLOOKUP($C$2&amp;"-"&amp;$B120,'BD Seq Op'!$C:$H,4,FALSE)))</f>
        <v/>
      </c>
      <c r="F120" s="62" t="str">
        <f>IF($C$2=0,"",IF(ISERROR(VLOOKUP($C$2&amp;"-"&amp;$B120,'BD Seq Op'!$C:$H,5,FALSE)),"",VLOOKUP($C$2&amp;"-"&amp;$B120,'BD Seq Op'!$C:$H,5,FALSE)))</f>
        <v/>
      </c>
      <c r="G120" s="112" t="str">
        <f>IF(D120="","",VLOOKUP(D120,Máquinas!A:C,3,FALSE))</f>
        <v/>
      </c>
      <c r="H120" s="113" t="str">
        <f t="shared" si="6"/>
        <v/>
      </c>
      <c r="I120" s="62">
        <f t="shared" si="7"/>
        <v>0</v>
      </c>
      <c r="J120" s="62">
        <f t="shared" si="8"/>
        <v>0</v>
      </c>
      <c r="K120" s="7"/>
      <c r="L120" s="57"/>
      <c r="M120" s="57"/>
      <c r="N120" s="57"/>
      <c r="O120" s="57"/>
      <c r="P120" s="57"/>
      <c r="Q120" s="57"/>
      <c r="S120" s="57"/>
      <c r="T120" s="57"/>
      <c r="U120" s="57"/>
      <c r="V120" s="57"/>
      <c r="W120" s="57"/>
      <c r="X120" s="57"/>
      <c r="Y120" s="57"/>
      <c r="Z120" s="57"/>
      <c r="AA120" s="57"/>
      <c r="AB120" s="57"/>
      <c r="AC120" s="57"/>
    </row>
    <row r="121" spans="1:29" ht="18" customHeight="1" x14ac:dyDescent="0.25">
      <c r="A121" s="32" t="str">
        <f t="shared" si="5"/>
        <v>Não</v>
      </c>
      <c r="B121" s="106">
        <v>116</v>
      </c>
      <c r="C121" s="111" t="str">
        <f>IF($C$2=0,"",IF(ISERROR(VLOOKUP($C$2&amp;"-"&amp;$B121,'BD Seq Op'!$C:$H,2,FALSE)),"",VLOOKUP($C$2&amp;"-"&amp;$B121,'BD Seq Op'!$C:$H,2,FALSE)))</f>
        <v/>
      </c>
      <c r="D121" s="105" t="str">
        <f>IF($C$2=0,"",IF(ISERROR(VLOOKUP($C$2&amp;"-"&amp;$B121,'BD Seq Op'!$C:$H,3,FALSE)),"",VLOOKUP($C$2&amp;"-"&amp;$B121,'BD Seq Op'!$C:$H,3,FALSE)))</f>
        <v/>
      </c>
      <c r="E121" s="105" t="str">
        <f>IF($C$2=0,"",IF(ISERROR(VLOOKUP($C$2&amp;"-"&amp;$B121,'BD Seq Op'!$C:$H,4,FALSE)),"",VLOOKUP($C$2&amp;"-"&amp;$B121,'BD Seq Op'!$C:$H,4,FALSE)))</f>
        <v/>
      </c>
      <c r="F121" s="62" t="str">
        <f>IF($C$2=0,"",IF(ISERROR(VLOOKUP($C$2&amp;"-"&amp;$B121,'BD Seq Op'!$C:$H,5,FALSE)),"",VLOOKUP($C$2&amp;"-"&amp;$B121,'BD Seq Op'!$C:$H,5,FALSE)))</f>
        <v/>
      </c>
      <c r="G121" s="112" t="str">
        <f>IF(D121="","",VLOOKUP(D121,Máquinas!A:C,3,FALSE))</f>
        <v/>
      </c>
      <c r="H121" s="113" t="str">
        <f t="shared" si="6"/>
        <v/>
      </c>
      <c r="I121" s="62">
        <f t="shared" si="7"/>
        <v>0</v>
      </c>
      <c r="J121" s="62">
        <f t="shared" si="8"/>
        <v>0</v>
      </c>
      <c r="K121" s="7"/>
      <c r="L121" s="57"/>
      <c r="M121" s="57"/>
      <c r="N121" s="57"/>
      <c r="O121" s="57"/>
      <c r="P121" s="57"/>
      <c r="Q121" s="57"/>
      <c r="S121" s="57"/>
      <c r="T121" s="57"/>
      <c r="U121" s="57"/>
      <c r="V121" s="57"/>
      <c r="W121" s="57"/>
      <c r="X121" s="57"/>
      <c r="Y121" s="57"/>
      <c r="Z121" s="57"/>
      <c r="AA121" s="57"/>
      <c r="AB121" s="57"/>
      <c r="AC121" s="57"/>
    </row>
    <row r="122" spans="1:29" ht="18" customHeight="1" x14ac:dyDescent="0.25">
      <c r="A122" s="32" t="str">
        <f t="shared" si="5"/>
        <v>Não</v>
      </c>
      <c r="B122" s="105">
        <v>117</v>
      </c>
      <c r="C122" s="111" t="str">
        <f>IF($C$2=0,"",IF(ISERROR(VLOOKUP($C$2&amp;"-"&amp;$B122,'BD Seq Op'!$C:$H,2,FALSE)),"",VLOOKUP($C$2&amp;"-"&amp;$B122,'BD Seq Op'!$C:$H,2,FALSE)))</f>
        <v/>
      </c>
      <c r="D122" s="105" t="str">
        <f>IF($C$2=0,"",IF(ISERROR(VLOOKUP($C$2&amp;"-"&amp;$B122,'BD Seq Op'!$C:$H,3,FALSE)),"",VLOOKUP($C$2&amp;"-"&amp;$B122,'BD Seq Op'!$C:$H,3,FALSE)))</f>
        <v/>
      </c>
      <c r="E122" s="105" t="str">
        <f>IF($C$2=0,"",IF(ISERROR(VLOOKUP($C$2&amp;"-"&amp;$B122,'BD Seq Op'!$C:$H,4,FALSE)),"",VLOOKUP($C$2&amp;"-"&amp;$B122,'BD Seq Op'!$C:$H,4,FALSE)))</f>
        <v/>
      </c>
      <c r="F122" s="62" t="str">
        <f>IF($C$2=0,"",IF(ISERROR(VLOOKUP($C$2&amp;"-"&amp;$B122,'BD Seq Op'!$C:$H,5,FALSE)),"",VLOOKUP($C$2&amp;"-"&amp;$B122,'BD Seq Op'!$C:$H,5,FALSE)))</f>
        <v/>
      </c>
      <c r="G122" s="112" t="str">
        <f>IF(D122="","",VLOOKUP(D122,Máquinas!A:C,3,FALSE))</f>
        <v/>
      </c>
      <c r="H122" s="113" t="str">
        <f t="shared" si="6"/>
        <v/>
      </c>
      <c r="I122" s="62">
        <f t="shared" si="7"/>
        <v>0</v>
      </c>
      <c r="J122" s="62">
        <f t="shared" si="8"/>
        <v>0</v>
      </c>
      <c r="K122" s="7"/>
      <c r="L122" s="57"/>
      <c r="M122" s="57"/>
      <c r="N122" s="57"/>
      <c r="O122" s="57"/>
      <c r="P122" s="57"/>
      <c r="Q122" s="57"/>
      <c r="S122" s="57"/>
      <c r="T122" s="57"/>
      <c r="U122" s="57"/>
      <c r="V122" s="57"/>
      <c r="W122" s="57"/>
      <c r="X122" s="57"/>
      <c r="Y122" s="57"/>
      <c r="Z122" s="57"/>
      <c r="AA122" s="57"/>
      <c r="AB122" s="57"/>
      <c r="AC122" s="57"/>
    </row>
    <row r="123" spans="1:29" ht="18" customHeight="1" x14ac:dyDescent="0.25">
      <c r="A123" s="32" t="str">
        <f t="shared" si="5"/>
        <v>Não</v>
      </c>
      <c r="B123" s="106">
        <v>118</v>
      </c>
      <c r="C123" s="111" t="str">
        <f>IF($C$2=0,"",IF(ISERROR(VLOOKUP($C$2&amp;"-"&amp;$B123,'BD Seq Op'!$C:$H,2,FALSE)),"",VLOOKUP($C$2&amp;"-"&amp;$B123,'BD Seq Op'!$C:$H,2,FALSE)))</f>
        <v/>
      </c>
      <c r="D123" s="105" t="str">
        <f>IF($C$2=0,"",IF(ISERROR(VLOOKUP($C$2&amp;"-"&amp;$B123,'BD Seq Op'!$C:$H,3,FALSE)),"",VLOOKUP($C$2&amp;"-"&amp;$B123,'BD Seq Op'!$C:$H,3,FALSE)))</f>
        <v/>
      </c>
      <c r="E123" s="105" t="str">
        <f>IF($C$2=0,"",IF(ISERROR(VLOOKUP($C$2&amp;"-"&amp;$B123,'BD Seq Op'!$C:$H,4,FALSE)),"",VLOOKUP($C$2&amp;"-"&amp;$B123,'BD Seq Op'!$C:$H,4,FALSE)))</f>
        <v/>
      </c>
      <c r="F123" s="62" t="str">
        <f>IF($C$2=0,"",IF(ISERROR(VLOOKUP($C$2&amp;"-"&amp;$B123,'BD Seq Op'!$C:$H,5,FALSE)),"",VLOOKUP($C$2&amp;"-"&amp;$B123,'BD Seq Op'!$C:$H,5,FALSE)))</f>
        <v/>
      </c>
      <c r="G123" s="112" t="str">
        <f>IF(D123="","",VLOOKUP(D123,Máquinas!A:C,3,FALSE))</f>
        <v/>
      </c>
      <c r="H123" s="113" t="str">
        <f t="shared" si="6"/>
        <v/>
      </c>
      <c r="I123" s="62">
        <f t="shared" si="7"/>
        <v>0</v>
      </c>
      <c r="J123" s="62">
        <f t="shared" si="8"/>
        <v>0</v>
      </c>
      <c r="K123" s="7"/>
      <c r="L123" s="57"/>
      <c r="M123" s="57"/>
      <c r="N123" s="57"/>
      <c r="O123" s="57"/>
      <c r="P123" s="57"/>
      <c r="Q123" s="57"/>
      <c r="S123" s="57"/>
      <c r="T123" s="57"/>
      <c r="U123" s="57"/>
      <c r="V123" s="57"/>
      <c r="W123" s="57"/>
      <c r="X123" s="57"/>
      <c r="Y123" s="57"/>
      <c r="Z123" s="57"/>
      <c r="AA123" s="57"/>
      <c r="AB123" s="57"/>
      <c r="AC123" s="57"/>
    </row>
    <row r="124" spans="1:29" ht="18" customHeight="1" x14ac:dyDescent="0.25">
      <c r="A124" s="32" t="str">
        <f t="shared" si="5"/>
        <v>Não</v>
      </c>
      <c r="B124" s="105">
        <v>119</v>
      </c>
      <c r="C124" s="111" t="str">
        <f>IF($C$2=0,"",IF(ISERROR(VLOOKUP($C$2&amp;"-"&amp;$B124,'BD Seq Op'!$C:$H,2,FALSE)),"",VLOOKUP($C$2&amp;"-"&amp;$B124,'BD Seq Op'!$C:$H,2,FALSE)))</f>
        <v/>
      </c>
      <c r="D124" s="105" t="str">
        <f>IF($C$2=0,"",IF(ISERROR(VLOOKUP($C$2&amp;"-"&amp;$B124,'BD Seq Op'!$C:$H,3,FALSE)),"",VLOOKUP($C$2&amp;"-"&amp;$B124,'BD Seq Op'!$C:$H,3,FALSE)))</f>
        <v/>
      </c>
      <c r="E124" s="105" t="str">
        <f>IF($C$2=0,"",IF(ISERROR(VLOOKUP($C$2&amp;"-"&amp;$B124,'BD Seq Op'!$C:$H,4,FALSE)),"",VLOOKUP($C$2&amp;"-"&amp;$B124,'BD Seq Op'!$C:$H,4,FALSE)))</f>
        <v/>
      </c>
      <c r="F124" s="62" t="str">
        <f>IF($C$2=0,"",IF(ISERROR(VLOOKUP($C$2&amp;"-"&amp;$B124,'BD Seq Op'!$C:$H,5,FALSE)),"",VLOOKUP($C$2&amp;"-"&amp;$B124,'BD Seq Op'!$C:$H,5,FALSE)))</f>
        <v/>
      </c>
      <c r="G124" s="112" t="str">
        <f>IF(D124="","",VLOOKUP(D124,Máquinas!A:C,3,FALSE))</f>
        <v/>
      </c>
      <c r="H124" s="113" t="str">
        <f t="shared" si="6"/>
        <v/>
      </c>
      <c r="I124" s="62">
        <f t="shared" si="7"/>
        <v>0</v>
      </c>
      <c r="J124" s="62">
        <f t="shared" si="8"/>
        <v>0</v>
      </c>
      <c r="K124" s="7"/>
      <c r="L124" s="57"/>
      <c r="M124" s="57"/>
      <c r="N124" s="57"/>
      <c r="O124" s="57"/>
      <c r="P124" s="57"/>
      <c r="Q124" s="57"/>
      <c r="S124" s="57"/>
      <c r="T124" s="57"/>
      <c r="U124" s="57"/>
      <c r="V124" s="57"/>
      <c r="W124" s="57"/>
      <c r="X124" s="57"/>
      <c r="Y124" s="57"/>
      <c r="Z124" s="57"/>
      <c r="AA124" s="57"/>
      <c r="AB124" s="57"/>
      <c r="AC124" s="57"/>
    </row>
    <row r="125" spans="1:29" ht="18" customHeight="1" x14ac:dyDescent="0.25">
      <c r="A125" s="32" t="str">
        <f t="shared" si="5"/>
        <v>Não</v>
      </c>
      <c r="B125" s="106">
        <v>120</v>
      </c>
      <c r="C125" s="111" t="str">
        <f>IF($C$2=0,"",IF(ISERROR(VLOOKUP($C$2&amp;"-"&amp;$B125,'BD Seq Op'!$C:$H,2,FALSE)),"",VLOOKUP($C$2&amp;"-"&amp;$B125,'BD Seq Op'!$C:$H,2,FALSE)))</f>
        <v/>
      </c>
      <c r="D125" s="105" t="str">
        <f>IF($C$2=0,"",IF(ISERROR(VLOOKUP($C$2&amp;"-"&amp;$B125,'BD Seq Op'!$C:$H,3,FALSE)),"",VLOOKUP($C$2&amp;"-"&amp;$B125,'BD Seq Op'!$C:$H,3,FALSE)))</f>
        <v/>
      </c>
      <c r="E125" s="105" t="str">
        <f>IF($C$2=0,"",IF(ISERROR(VLOOKUP($C$2&amp;"-"&amp;$B125,'BD Seq Op'!$C:$H,4,FALSE)),"",VLOOKUP($C$2&amp;"-"&amp;$B125,'BD Seq Op'!$C:$H,4,FALSE)))</f>
        <v/>
      </c>
      <c r="F125" s="62" t="str">
        <f>IF($C$2=0,"",IF(ISERROR(VLOOKUP($C$2&amp;"-"&amp;$B125,'BD Seq Op'!$C:$H,5,FALSE)),"",VLOOKUP($C$2&amp;"-"&amp;$B125,'BD Seq Op'!$C:$H,5,FALSE)))</f>
        <v/>
      </c>
      <c r="G125" s="112" t="str">
        <f>IF(D125="","",VLOOKUP(D125,Máquinas!A:C,3,FALSE))</f>
        <v/>
      </c>
      <c r="H125" s="113" t="str">
        <f>IF(F125="","",IF($R$3=1,60/F125,IF($R$3=2,(60*$I$3)/F125,(60*G125)/F125)))</f>
        <v/>
      </c>
      <c r="I125" s="62">
        <f>IF(F125="",0,IF($I$2=0,0,IF($J$3=0,0,IF($R$5=2,(F125*$I$1/(($J$3*$I$2)*G125)),IF($I$3=0,0,(F125*$I$1/(($J$3*$I$2)*$I$3)))))))</f>
        <v>0</v>
      </c>
      <c r="J125" s="62">
        <f>IF(I125=0,0,I125*$J$3)</f>
        <v>0</v>
      </c>
      <c r="K125" s="7"/>
      <c r="L125" s="57"/>
      <c r="M125" s="57"/>
      <c r="N125" s="57"/>
      <c r="O125" s="57"/>
      <c r="P125" s="57"/>
      <c r="Q125" s="57"/>
      <c r="S125" s="57"/>
      <c r="T125" s="57"/>
      <c r="U125" s="57"/>
      <c r="V125" s="57"/>
      <c r="W125" s="57"/>
      <c r="X125" s="57"/>
      <c r="Y125" s="57"/>
      <c r="Z125" s="57"/>
      <c r="AA125" s="57"/>
      <c r="AB125" s="57"/>
      <c r="AC125" s="57"/>
    </row>
    <row r="126" spans="1:29" ht="18" customHeight="1" x14ac:dyDescent="0.25">
      <c r="A126" s="33" t="s">
        <v>29</v>
      </c>
      <c r="B126" s="118" t="str">
        <f>IF(C2=0,"",CONCATENATE("** Calculado com: ",R6," e ",R7))</f>
        <v/>
      </c>
      <c r="C126" s="57"/>
      <c r="D126" s="60"/>
      <c r="E126" s="60" t="s">
        <v>40</v>
      </c>
      <c r="F126" s="63">
        <f>SUM(F6:F125)</f>
        <v>0</v>
      </c>
      <c r="G126" s="63"/>
      <c r="H126" s="57"/>
      <c r="I126" s="63">
        <f>SUM(I6:I125)</f>
        <v>0</v>
      </c>
      <c r="J126" s="63">
        <f>SUM(J6:J125)</f>
        <v>0</v>
      </c>
      <c r="K126" s="57"/>
      <c r="L126" s="57"/>
      <c r="M126" s="57"/>
      <c r="N126" s="57"/>
      <c r="O126" s="57"/>
      <c r="P126" s="57"/>
      <c r="Q126" s="57"/>
      <c r="S126" s="57"/>
      <c r="T126" s="57"/>
      <c r="U126" s="57"/>
      <c r="V126" s="57"/>
      <c r="W126" s="57"/>
      <c r="X126" s="57"/>
      <c r="Y126" s="57"/>
      <c r="Z126" s="57"/>
      <c r="AA126" s="57"/>
      <c r="AB126" s="57"/>
      <c r="AC126" s="57"/>
    </row>
    <row r="127" spans="1:29" x14ac:dyDescent="0.25">
      <c r="B127" s="56"/>
      <c r="C127" s="57"/>
      <c r="D127" s="56"/>
      <c r="E127" s="56"/>
      <c r="F127" s="57"/>
      <c r="G127" s="57"/>
      <c r="H127" s="57"/>
      <c r="I127" s="57"/>
      <c r="J127" s="57"/>
      <c r="K127" s="57"/>
      <c r="L127" s="57"/>
      <c r="M127" s="57"/>
      <c r="N127" s="57"/>
      <c r="O127" s="57"/>
      <c r="P127" s="57"/>
      <c r="Q127" s="57"/>
      <c r="S127" s="57"/>
      <c r="T127" s="57"/>
      <c r="U127" s="57"/>
      <c r="V127" s="57"/>
      <c r="W127" s="57"/>
      <c r="X127" s="57"/>
      <c r="Y127" s="57"/>
      <c r="Z127" s="57"/>
      <c r="AA127" s="57"/>
      <c r="AB127" s="57"/>
      <c r="AC127" s="57"/>
    </row>
    <row r="128" spans="1:29" x14ac:dyDescent="0.25">
      <c r="B128" s="56"/>
      <c r="C128" s="57"/>
      <c r="D128" s="56"/>
      <c r="E128" s="56"/>
      <c r="F128" s="57"/>
      <c r="G128" s="57"/>
      <c r="H128" s="57"/>
      <c r="I128" s="57"/>
      <c r="J128" s="57"/>
      <c r="K128" s="57"/>
      <c r="L128" s="57"/>
      <c r="M128" s="57"/>
      <c r="N128" s="57"/>
      <c r="O128" s="57"/>
      <c r="P128" s="57"/>
      <c r="Q128" s="57"/>
      <c r="S128" s="57"/>
      <c r="T128" s="57"/>
      <c r="U128" s="57"/>
      <c r="V128" s="57"/>
      <c r="W128" s="57"/>
      <c r="X128" s="57"/>
      <c r="Y128" s="57"/>
      <c r="Z128" s="57"/>
      <c r="AA128" s="57"/>
      <c r="AB128" s="57"/>
      <c r="AC128" s="57"/>
    </row>
    <row r="129" spans="2:29" x14ac:dyDescent="0.25">
      <c r="B129" s="56"/>
      <c r="C129" s="57"/>
      <c r="D129" s="56"/>
      <c r="E129" s="56"/>
      <c r="F129" s="57"/>
      <c r="G129" s="57"/>
      <c r="H129" s="57"/>
      <c r="I129" s="57"/>
      <c r="J129" s="57"/>
      <c r="K129" s="57"/>
      <c r="L129" s="57"/>
      <c r="M129" s="57"/>
      <c r="N129" s="57"/>
      <c r="O129" s="57"/>
      <c r="P129" s="57"/>
      <c r="Q129" s="57"/>
      <c r="S129" s="57"/>
      <c r="T129" s="57"/>
      <c r="U129" s="57"/>
      <c r="V129" s="57"/>
      <c r="W129" s="57"/>
      <c r="X129" s="57"/>
      <c r="Y129" s="57"/>
      <c r="Z129" s="57"/>
      <c r="AA129" s="57"/>
      <c r="AB129" s="57"/>
      <c r="AC129" s="57"/>
    </row>
    <row r="130" spans="2:29" x14ac:dyDescent="0.25">
      <c r="B130" s="56"/>
      <c r="C130" s="57"/>
      <c r="D130" s="56"/>
      <c r="E130" s="56"/>
      <c r="F130" s="57"/>
      <c r="G130" s="57"/>
      <c r="H130" s="57"/>
      <c r="I130" s="57"/>
      <c r="J130" s="57"/>
      <c r="K130" s="57"/>
      <c r="L130" s="57"/>
      <c r="M130" s="57"/>
      <c r="N130" s="57"/>
      <c r="O130" s="57"/>
      <c r="P130" s="57"/>
      <c r="Q130" s="57"/>
      <c r="S130" s="57"/>
      <c r="T130" s="57"/>
      <c r="U130" s="57"/>
      <c r="V130" s="57"/>
      <c r="W130" s="57"/>
      <c r="X130" s="57"/>
      <c r="Y130" s="57"/>
      <c r="Z130" s="57"/>
      <c r="AA130" s="57"/>
      <c r="AB130" s="57"/>
      <c r="AC130" s="57"/>
    </row>
    <row r="131" spans="2:29" x14ac:dyDescent="0.25">
      <c r="B131" s="56"/>
      <c r="C131" s="57"/>
      <c r="D131" s="56"/>
      <c r="E131" s="56"/>
      <c r="F131" s="57"/>
      <c r="G131" s="57"/>
      <c r="H131" s="57"/>
      <c r="I131" s="57"/>
      <c r="J131" s="57"/>
      <c r="K131" s="57"/>
      <c r="L131" s="57"/>
      <c r="M131" s="57"/>
      <c r="N131" s="57"/>
      <c r="O131" s="57"/>
      <c r="P131" s="57"/>
      <c r="Q131" s="57"/>
      <c r="S131" s="57"/>
      <c r="T131" s="57"/>
      <c r="U131" s="57"/>
      <c r="V131" s="57"/>
      <c r="W131" s="57"/>
      <c r="X131" s="57"/>
      <c r="Y131" s="57"/>
      <c r="Z131" s="57"/>
      <c r="AA131" s="57"/>
      <c r="AB131" s="57"/>
      <c r="AC131" s="57"/>
    </row>
    <row r="132" spans="2:29" x14ac:dyDescent="0.25">
      <c r="B132" s="56"/>
      <c r="C132" s="57"/>
      <c r="D132" s="56"/>
      <c r="E132" s="56"/>
      <c r="F132" s="57"/>
      <c r="G132" s="57"/>
      <c r="H132" s="57"/>
      <c r="I132" s="57"/>
      <c r="J132" s="57"/>
      <c r="K132" s="57"/>
      <c r="L132" s="57"/>
      <c r="M132" s="57"/>
      <c r="N132" s="57"/>
      <c r="O132" s="57"/>
      <c r="P132" s="57"/>
      <c r="Q132" s="57"/>
      <c r="S132" s="57"/>
      <c r="T132" s="57"/>
      <c r="U132" s="57"/>
      <c r="V132" s="57"/>
      <c r="W132" s="57"/>
      <c r="X132" s="57"/>
      <c r="Y132" s="57"/>
      <c r="Z132" s="57"/>
      <c r="AA132" s="57"/>
      <c r="AB132" s="57"/>
      <c r="AC132" s="57"/>
    </row>
    <row r="133" spans="2:29" x14ac:dyDescent="0.25">
      <c r="B133" s="56"/>
      <c r="C133" s="57"/>
      <c r="D133" s="56"/>
      <c r="E133" s="56"/>
      <c r="F133" s="57"/>
      <c r="G133" s="57"/>
      <c r="H133" s="57"/>
      <c r="I133" s="57"/>
      <c r="J133" s="57"/>
      <c r="K133" s="57"/>
      <c r="L133" s="57"/>
      <c r="M133" s="57"/>
      <c r="N133" s="57"/>
      <c r="O133" s="57"/>
      <c r="P133" s="57"/>
      <c r="Q133" s="57"/>
      <c r="S133" s="57"/>
      <c r="T133" s="57"/>
      <c r="U133" s="57"/>
      <c r="V133" s="57"/>
      <c r="W133" s="57"/>
      <c r="X133" s="57"/>
      <c r="Y133" s="57"/>
      <c r="Z133" s="57"/>
      <c r="AA133" s="57"/>
      <c r="AB133" s="57"/>
      <c r="AC133" s="57"/>
    </row>
    <row r="134" spans="2:29" x14ac:dyDescent="0.25">
      <c r="B134" s="56"/>
      <c r="C134" s="57"/>
      <c r="D134" s="56"/>
      <c r="E134" s="56"/>
      <c r="F134" s="57"/>
      <c r="G134" s="57"/>
      <c r="H134" s="57"/>
      <c r="I134" s="57"/>
      <c r="J134" s="57"/>
      <c r="K134" s="57"/>
      <c r="L134" s="57"/>
      <c r="M134" s="57"/>
      <c r="N134" s="57"/>
      <c r="O134" s="57"/>
      <c r="P134" s="57"/>
      <c r="Q134" s="57"/>
      <c r="S134" s="57"/>
      <c r="T134" s="57"/>
      <c r="U134" s="57"/>
      <c r="V134" s="57"/>
      <c r="W134" s="57"/>
      <c r="X134" s="57"/>
      <c r="Y134" s="57"/>
      <c r="Z134" s="57"/>
      <c r="AA134" s="57"/>
      <c r="AB134" s="57"/>
      <c r="AC134" s="57"/>
    </row>
    <row r="135" spans="2:29" x14ac:dyDescent="0.25">
      <c r="B135" s="56"/>
      <c r="C135" s="57"/>
      <c r="D135" s="56"/>
      <c r="E135" s="56"/>
      <c r="F135" s="57"/>
      <c r="G135" s="57"/>
      <c r="H135" s="57"/>
      <c r="I135" s="57"/>
      <c r="J135" s="57"/>
      <c r="K135" s="57"/>
      <c r="L135" s="57"/>
      <c r="M135" s="57"/>
      <c r="N135" s="57"/>
      <c r="O135" s="57"/>
      <c r="P135" s="57"/>
      <c r="Q135" s="57"/>
      <c r="S135" s="57"/>
      <c r="T135" s="57"/>
      <c r="U135" s="57"/>
      <c r="V135" s="57"/>
      <c r="W135" s="57"/>
      <c r="X135" s="57"/>
      <c r="Y135" s="57"/>
      <c r="Z135" s="57"/>
      <c r="AA135" s="57"/>
      <c r="AB135" s="57"/>
      <c r="AC135" s="57"/>
    </row>
    <row r="136" spans="2:29" x14ac:dyDescent="0.25">
      <c r="B136" s="56"/>
      <c r="C136" s="57"/>
      <c r="D136" s="56"/>
      <c r="E136" s="56"/>
      <c r="F136" s="57"/>
      <c r="G136" s="57"/>
      <c r="H136" s="57"/>
      <c r="I136" s="57"/>
      <c r="J136" s="57"/>
      <c r="K136" s="57"/>
      <c r="L136" s="57"/>
      <c r="M136" s="57"/>
      <c r="N136" s="57"/>
      <c r="O136" s="57"/>
      <c r="P136" s="57"/>
      <c r="Q136" s="57"/>
      <c r="S136" s="57"/>
      <c r="T136" s="57"/>
      <c r="U136" s="57"/>
      <c r="V136" s="57"/>
      <c r="W136" s="57"/>
      <c r="X136" s="57"/>
      <c r="Y136" s="57"/>
      <c r="Z136" s="57"/>
      <c r="AA136" s="57"/>
      <c r="AB136" s="57"/>
      <c r="AC136" s="57"/>
    </row>
    <row r="137" spans="2:29" x14ac:dyDescent="0.25">
      <c r="B137" s="56"/>
      <c r="C137" s="57"/>
      <c r="D137" s="56"/>
      <c r="E137" s="56"/>
      <c r="F137" s="57"/>
      <c r="G137" s="57"/>
      <c r="H137" s="57"/>
      <c r="I137" s="57"/>
      <c r="J137" s="57"/>
      <c r="K137" s="57"/>
      <c r="L137" s="57"/>
      <c r="M137" s="57"/>
      <c r="N137" s="57"/>
      <c r="O137" s="57"/>
      <c r="P137" s="57"/>
      <c r="Q137" s="57"/>
      <c r="S137" s="57"/>
      <c r="T137" s="57"/>
      <c r="U137" s="57"/>
      <c r="V137" s="57"/>
      <c r="W137" s="57"/>
      <c r="X137" s="57"/>
      <c r="Y137" s="57"/>
      <c r="Z137" s="57"/>
      <c r="AA137" s="57"/>
      <c r="AB137" s="57"/>
      <c r="AC137" s="57"/>
    </row>
    <row r="138" spans="2:29" x14ac:dyDescent="0.25">
      <c r="B138" s="56"/>
      <c r="C138" s="57"/>
      <c r="D138" s="56"/>
      <c r="E138" s="56"/>
      <c r="F138" s="57"/>
      <c r="G138" s="57"/>
      <c r="H138" s="57"/>
      <c r="I138" s="57"/>
      <c r="J138" s="57"/>
      <c r="K138" s="57"/>
      <c r="L138" s="57"/>
      <c r="M138" s="57"/>
      <c r="N138" s="57"/>
      <c r="O138" s="57"/>
      <c r="P138" s="57"/>
      <c r="Q138" s="57"/>
      <c r="S138" s="57"/>
      <c r="T138" s="57"/>
      <c r="U138" s="57"/>
      <c r="V138" s="57"/>
      <c r="W138" s="57"/>
      <c r="X138" s="57"/>
      <c r="Y138" s="57"/>
      <c r="Z138" s="57"/>
      <c r="AA138" s="57"/>
      <c r="AB138" s="57"/>
      <c r="AC138" s="57"/>
    </row>
    <row r="139" spans="2:29" x14ac:dyDescent="0.25">
      <c r="B139" s="56"/>
      <c r="C139" s="57"/>
      <c r="D139" s="56"/>
      <c r="E139" s="56"/>
      <c r="F139" s="57"/>
      <c r="G139" s="57"/>
      <c r="H139" s="57"/>
      <c r="I139" s="57"/>
      <c r="J139" s="57"/>
      <c r="K139" s="57"/>
      <c r="L139" s="57"/>
      <c r="M139" s="57"/>
      <c r="N139" s="57"/>
      <c r="O139" s="57"/>
      <c r="P139" s="57"/>
      <c r="Q139" s="57"/>
      <c r="S139" s="57"/>
      <c r="T139" s="57"/>
      <c r="U139" s="57"/>
      <c r="V139" s="57"/>
      <c r="W139" s="57"/>
      <c r="X139" s="57"/>
      <c r="Y139" s="57"/>
      <c r="Z139" s="57"/>
      <c r="AA139" s="57"/>
      <c r="AB139" s="57"/>
      <c r="AC139" s="57"/>
    </row>
    <row r="140" spans="2:29" x14ac:dyDescent="0.25">
      <c r="B140" s="56"/>
      <c r="C140" s="57"/>
      <c r="D140" s="56"/>
      <c r="E140" s="56"/>
      <c r="F140" s="57"/>
      <c r="G140" s="57"/>
      <c r="H140" s="57"/>
      <c r="I140" s="57"/>
      <c r="J140" s="57"/>
      <c r="K140" s="57"/>
      <c r="L140" s="57"/>
      <c r="M140" s="57"/>
      <c r="N140" s="57"/>
      <c r="O140" s="57"/>
      <c r="P140" s="57"/>
      <c r="Q140" s="57"/>
      <c r="S140" s="57"/>
      <c r="T140" s="57"/>
      <c r="U140" s="57"/>
      <c r="V140" s="57"/>
      <c r="W140" s="57"/>
      <c r="X140" s="57"/>
      <c r="Y140" s="57"/>
      <c r="Z140" s="57"/>
      <c r="AA140" s="57"/>
      <c r="AB140" s="57"/>
      <c r="AC140" s="57"/>
    </row>
    <row r="141" spans="2:29" x14ac:dyDescent="0.25">
      <c r="B141" s="56"/>
      <c r="C141" s="57"/>
      <c r="D141" s="56"/>
      <c r="E141" s="56"/>
      <c r="F141" s="57"/>
      <c r="G141" s="57"/>
      <c r="H141" s="57"/>
      <c r="I141" s="57"/>
      <c r="J141" s="57"/>
      <c r="K141" s="57"/>
      <c r="L141" s="57"/>
      <c r="M141" s="57"/>
      <c r="N141" s="57"/>
      <c r="O141" s="57"/>
      <c r="P141" s="57"/>
      <c r="Q141" s="57"/>
      <c r="S141" s="57"/>
      <c r="T141" s="57"/>
      <c r="U141" s="57"/>
      <c r="V141" s="57"/>
      <c r="W141" s="57"/>
      <c r="X141" s="57"/>
      <c r="Y141" s="57"/>
      <c r="Z141" s="57"/>
      <c r="AA141" s="57"/>
      <c r="AB141" s="57"/>
      <c r="AC141" s="57"/>
    </row>
    <row r="142" spans="2:29" x14ac:dyDescent="0.25">
      <c r="B142" s="56"/>
      <c r="C142" s="57"/>
      <c r="D142" s="56"/>
      <c r="E142" s="56"/>
      <c r="F142" s="57"/>
      <c r="G142" s="57"/>
      <c r="H142" s="57"/>
      <c r="I142" s="57"/>
      <c r="J142" s="57"/>
      <c r="K142" s="57"/>
      <c r="L142" s="57"/>
      <c r="M142" s="57"/>
      <c r="N142" s="57"/>
      <c r="O142" s="57"/>
      <c r="P142" s="57"/>
      <c r="Q142" s="57"/>
      <c r="S142" s="57"/>
      <c r="T142" s="57"/>
      <c r="U142" s="57"/>
      <c r="V142" s="57"/>
      <c r="W142" s="57"/>
      <c r="X142" s="57"/>
      <c r="Y142" s="57"/>
      <c r="Z142" s="57"/>
      <c r="AA142" s="57"/>
      <c r="AB142" s="57"/>
      <c r="AC142" s="57"/>
    </row>
    <row r="143" spans="2:29" x14ac:dyDescent="0.25">
      <c r="B143" s="56"/>
      <c r="C143" s="57"/>
      <c r="D143" s="56"/>
      <c r="E143" s="56"/>
      <c r="F143" s="57"/>
      <c r="G143" s="57"/>
      <c r="H143" s="57"/>
      <c r="I143" s="57"/>
      <c r="J143" s="57"/>
      <c r="K143" s="57"/>
      <c r="L143" s="57"/>
      <c r="M143" s="57"/>
      <c r="N143" s="57"/>
      <c r="O143" s="57"/>
      <c r="P143" s="57"/>
      <c r="Q143" s="57"/>
      <c r="S143" s="57"/>
      <c r="T143" s="57"/>
      <c r="U143" s="57"/>
      <c r="V143" s="57"/>
      <c r="W143" s="57"/>
      <c r="X143" s="57"/>
      <c r="Y143" s="57"/>
      <c r="Z143" s="57"/>
      <c r="AA143" s="57"/>
      <c r="AB143" s="57"/>
      <c r="AC143" s="57"/>
    </row>
    <row r="144" spans="2:29" x14ac:dyDescent="0.25">
      <c r="B144" s="56"/>
      <c r="C144" s="57"/>
      <c r="D144" s="56"/>
      <c r="E144" s="56"/>
      <c r="F144" s="57"/>
      <c r="G144" s="57"/>
      <c r="H144" s="57"/>
      <c r="I144" s="57"/>
      <c r="J144" s="57"/>
      <c r="K144" s="57"/>
      <c r="L144" s="57"/>
      <c r="M144" s="57"/>
      <c r="N144" s="57"/>
      <c r="O144" s="57"/>
      <c r="P144" s="57"/>
      <c r="Q144" s="57"/>
      <c r="S144" s="57"/>
      <c r="T144" s="57"/>
      <c r="U144" s="57"/>
      <c r="V144" s="57"/>
      <c r="W144" s="57"/>
      <c r="X144" s="57"/>
      <c r="Y144" s="57"/>
      <c r="Z144" s="57"/>
      <c r="AA144" s="57"/>
      <c r="AB144" s="57"/>
      <c r="AC144" s="57"/>
    </row>
    <row r="145" spans="2:29" x14ac:dyDescent="0.25">
      <c r="B145" s="56"/>
      <c r="C145" s="57"/>
      <c r="D145" s="56"/>
      <c r="E145" s="56"/>
      <c r="F145" s="57"/>
      <c r="G145" s="57"/>
      <c r="H145" s="57"/>
      <c r="I145" s="57"/>
      <c r="J145" s="57"/>
      <c r="K145" s="57"/>
      <c r="L145" s="57"/>
      <c r="M145" s="57"/>
      <c r="N145" s="57"/>
      <c r="O145" s="57"/>
      <c r="P145" s="57"/>
      <c r="Q145" s="57"/>
      <c r="S145" s="57"/>
      <c r="T145" s="57"/>
      <c r="U145" s="57"/>
      <c r="V145" s="57"/>
      <c r="W145" s="57"/>
      <c r="X145" s="57"/>
      <c r="Y145" s="57"/>
      <c r="Z145" s="57"/>
      <c r="AA145" s="57"/>
      <c r="AB145" s="57"/>
      <c r="AC145" s="57"/>
    </row>
    <row r="146" spans="2:29" x14ac:dyDescent="0.25">
      <c r="B146" s="56"/>
      <c r="C146" s="57"/>
      <c r="D146" s="56"/>
      <c r="E146" s="56"/>
      <c r="F146" s="57"/>
      <c r="G146" s="57"/>
      <c r="H146" s="57"/>
      <c r="I146" s="57"/>
      <c r="J146" s="57"/>
      <c r="K146" s="57"/>
      <c r="L146" s="57"/>
      <c r="M146" s="57"/>
      <c r="N146" s="57"/>
      <c r="O146" s="57"/>
      <c r="P146" s="57"/>
      <c r="Q146" s="57"/>
      <c r="S146" s="57"/>
      <c r="T146" s="57"/>
      <c r="U146" s="57"/>
      <c r="V146" s="57"/>
      <c r="W146" s="57"/>
      <c r="X146" s="57"/>
      <c r="Y146" s="57"/>
      <c r="Z146" s="57"/>
      <c r="AA146" s="57"/>
      <c r="AB146" s="57"/>
      <c r="AC146" s="57"/>
    </row>
    <row r="147" spans="2:29" x14ac:dyDescent="0.25">
      <c r="B147" s="56"/>
      <c r="C147" s="57"/>
      <c r="D147" s="56"/>
      <c r="E147" s="56"/>
      <c r="F147" s="57"/>
      <c r="G147" s="57"/>
      <c r="H147" s="57"/>
      <c r="I147" s="57"/>
      <c r="J147" s="57"/>
      <c r="K147" s="57"/>
      <c r="L147" s="57"/>
      <c r="M147" s="57"/>
      <c r="N147" s="57"/>
      <c r="O147" s="57"/>
      <c r="P147" s="57"/>
      <c r="Q147" s="57"/>
      <c r="S147" s="57"/>
      <c r="T147" s="57"/>
      <c r="U147" s="57"/>
      <c r="V147" s="57"/>
      <c r="W147" s="57"/>
      <c r="X147" s="57"/>
      <c r="Y147" s="57"/>
      <c r="Z147" s="57"/>
      <c r="AA147" s="57"/>
      <c r="AB147" s="57"/>
      <c r="AC147" s="57"/>
    </row>
    <row r="148" spans="2:29" x14ac:dyDescent="0.25">
      <c r="B148" s="56"/>
      <c r="C148" s="57"/>
      <c r="D148" s="56"/>
      <c r="E148" s="56"/>
      <c r="F148" s="57"/>
      <c r="G148" s="57"/>
      <c r="H148" s="57"/>
      <c r="I148" s="57"/>
      <c r="J148" s="57"/>
      <c r="K148" s="57"/>
      <c r="L148" s="57"/>
      <c r="M148" s="57"/>
      <c r="N148" s="57"/>
      <c r="O148" s="57"/>
      <c r="P148" s="57"/>
      <c r="Q148" s="57"/>
      <c r="S148" s="57"/>
      <c r="T148" s="57"/>
      <c r="U148" s="57"/>
      <c r="V148" s="57"/>
      <c r="W148" s="57"/>
      <c r="X148" s="57"/>
      <c r="Y148" s="57"/>
      <c r="Z148" s="57"/>
      <c r="AA148" s="57"/>
      <c r="AB148" s="57"/>
      <c r="AC148" s="57"/>
    </row>
    <row r="149" spans="2:29" x14ac:dyDescent="0.25">
      <c r="B149" s="56"/>
      <c r="C149" s="57"/>
      <c r="D149" s="56"/>
      <c r="E149" s="56"/>
      <c r="F149" s="57"/>
      <c r="G149" s="57"/>
      <c r="H149" s="57"/>
      <c r="I149" s="57"/>
      <c r="J149" s="57"/>
      <c r="K149" s="57"/>
      <c r="L149" s="57"/>
      <c r="M149" s="57"/>
      <c r="N149" s="57"/>
      <c r="O149" s="57"/>
      <c r="P149" s="57"/>
      <c r="Q149" s="57"/>
      <c r="S149" s="57"/>
      <c r="T149" s="57"/>
      <c r="U149" s="57"/>
      <c r="V149" s="57"/>
      <c r="W149" s="57"/>
      <c r="X149" s="57"/>
      <c r="Y149" s="57"/>
      <c r="Z149" s="57"/>
      <c r="AA149" s="57"/>
      <c r="AB149" s="57"/>
      <c r="AC149" s="57"/>
    </row>
    <row r="150" spans="2:29" x14ac:dyDescent="0.25">
      <c r="B150" s="56"/>
      <c r="C150" s="57"/>
      <c r="D150" s="56"/>
      <c r="E150" s="56"/>
      <c r="F150" s="57"/>
      <c r="G150" s="57"/>
      <c r="H150" s="57"/>
      <c r="I150" s="57"/>
      <c r="J150" s="57"/>
      <c r="K150" s="57"/>
      <c r="L150" s="57"/>
      <c r="M150" s="57"/>
      <c r="N150" s="57"/>
      <c r="O150" s="57"/>
      <c r="P150" s="57"/>
      <c r="Q150" s="57"/>
      <c r="S150" s="57"/>
      <c r="T150" s="57"/>
      <c r="U150" s="57"/>
      <c r="V150" s="57"/>
      <c r="W150" s="57"/>
      <c r="X150" s="57"/>
      <c r="Y150" s="57"/>
      <c r="Z150" s="57"/>
      <c r="AA150" s="57"/>
      <c r="AB150" s="57"/>
      <c r="AC150" s="57"/>
    </row>
  </sheetData>
  <sheetProtection sheet="1" objects="1" scenarios="1" autoFilter="0"/>
  <autoFilter ref="A4:K126" xr:uid="{00000000-0009-0000-0000-000006000000}"/>
  <mergeCells count="1">
    <mergeCell ref="C3:E3"/>
  </mergeCells>
  <conditionalFormatting sqref="D2:E2">
    <cfRule type="expression" dxfId="13" priority="7">
      <formula>$R$2="Não cadastrada."</formula>
    </cfRule>
  </conditionalFormatting>
  <conditionalFormatting sqref="I3">
    <cfRule type="expression" dxfId="12" priority="3">
      <formula>$R$5=2</formula>
    </cfRule>
  </conditionalFormatting>
  <conditionalFormatting sqref="M8:M17">
    <cfRule type="duplicateValues" dxfId="11" priority="2"/>
  </conditionalFormatting>
  <conditionalFormatting sqref="J3">
    <cfRule type="cellIs" dxfId="10" priority="1" operator="greaterThan">
      <formula>1</formula>
    </cfRule>
  </conditionalFormatting>
  <dataValidations count="3">
    <dataValidation type="list" showInputMessage="1" showErrorMessage="1" errorTitle="REFERÊNCIA NÃO CADASTRADA!" error="Clique sobre a célula para buscar uma Referência já cadastrada (para localizar use a barra de rolagem) ou cadastre esta Referência." sqref="C2" xr:uid="{00000000-0002-0000-0600-000000000000}">
      <formula1>Referência</formula1>
    </dataValidation>
    <dataValidation type="list" showInputMessage="1" showErrorMessage="1" errorTitle="MÁQUINA INEXISTENTE!" error="Clique na célula para buscar uma Máquina existente." sqref="M8:M17" xr:uid="{00000000-0002-0000-0600-000001000000}">
      <formula1>Máquina</formula1>
    </dataValidation>
    <dataValidation type="list" errorStyle="warning" showDropDown="1" showInputMessage="1" showErrorMessage="1" errorTitle="ATENÇÃO!" error="Você está informando mais de 1 (um) turno, você tem certeza? Isso altera diretamente a quantidade de Máquinas. Só informe 2 ou 3 turnos se realmente houver." sqref="J3" xr:uid="{00000000-0002-0000-0600-000002000000}">
      <formula1>"1"</formula1>
    </dataValidation>
  </dataValidations>
  <printOptions horizontalCentered="1"/>
  <pageMargins left="0.19685039370078741" right="0.19685039370078741" top="0.39370078740157483" bottom="0.39370078740157483" header="0" footer="0"/>
  <pageSetup paperSize="9" scale="97" fitToHeight="0" orientation="portrait" blackAndWhite="1" r:id="rId1"/>
  <drawing r:id="rId2"/>
  <legacyDrawing r:id="rId3"/>
  <mc:AlternateContent xmlns:mc="http://schemas.openxmlformats.org/markup-compatibility/2006">
    <mc:Choice Requires="x14">
      <controls>
        <mc:AlternateContent xmlns:mc="http://schemas.openxmlformats.org/markup-compatibility/2006">
          <mc:Choice Requires="x14">
            <control shapeId="7173" r:id="rId4" name="Option Button 5">
              <controlPr defaultSize="0" print="0" autoFill="0" autoLine="0" autoPict="0" macro="[0]!ocultar_coluna_efic_máq_em_balanceamento">
                <anchor moveWithCells="1">
                  <from>
                    <xdr:col>11</xdr:col>
                    <xdr:colOff>95250</xdr:colOff>
                    <xdr:row>4</xdr:row>
                    <xdr:rowOff>190500</xdr:rowOff>
                  </from>
                  <to>
                    <xdr:col>11</xdr:col>
                    <xdr:colOff>600075</xdr:colOff>
                    <xdr:row>4</xdr:row>
                    <xdr:rowOff>409575</xdr:rowOff>
                  </to>
                </anchor>
              </controlPr>
            </control>
          </mc:Choice>
        </mc:AlternateContent>
        <mc:AlternateContent xmlns:mc="http://schemas.openxmlformats.org/markup-compatibility/2006">
          <mc:Choice Requires="x14">
            <control shapeId="7178" r:id="rId5" name="Option Button 10">
              <controlPr defaultSize="0" print="0" autoFill="0" autoLine="0" autoPict="0" macro="[0]!reexibir_coluna_efic_em_balanceamento">
                <anchor moveWithCells="1">
                  <from>
                    <xdr:col>12</xdr:col>
                    <xdr:colOff>66675</xdr:colOff>
                    <xdr:row>4</xdr:row>
                    <xdr:rowOff>190500</xdr:rowOff>
                  </from>
                  <to>
                    <xdr:col>12</xdr:col>
                    <xdr:colOff>571500</xdr:colOff>
                    <xdr:row>4</xdr:row>
                    <xdr:rowOff>409575</xdr:rowOff>
                  </to>
                </anchor>
              </controlPr>
            </control>
          </mc:Choice>
        </mc:AlternateContent>
        <mc:AlternateContent xmlns:mc="http://schemas.openxmlformats.org/markup-compatibility/2006">
          <mc:Choice Requires="x14">
            <control shapeId="7185" r:id="rId6" name="Group Box 17">
              <controlPr defaultSize="0" print="0" autoFill="0" autoPict="0">
                <anchor moveWithCells="1">
                  <from>
                    <xdr:col>11</xdr:col>
                    <xdr:colOff>38100</xdr:colOff>
                    <xdr:row>4</xdr:row>
                    <xdr:rowOff>57150</xdr:rowOff>
                  </from>
                  <to>
                    <xdr:col>13</xdr:col>
                    <xdr:colOff>19050</xdr:colOff>
                    <xdr:row>4</xdr:row>
                    <xdr:rowOff>466725</xdr:rowOff>
                  </to>
                </anchor>
              </controlPr>
            </control>
          </mc:Choice>
        </mc:AlternateContent>
        <mc:AlternateContent xmlns:mc="http://schemas.openxmlformats.org/markup-compatibility/2006">
          <mc:Choice Requires="x14">
            <control shapeId="7187" r:id="rId7" name="Group Box 19">
              <controlPr defaultSize="0" print="0" autoFill="0" autoPict="0">
                <anchor moveWithCells="1">
                  <from>
                    <xdr:col>13</xdr:col>
                    <xdr:colOff>66675</xdr:colOff>
                    <xdr:row>4</xdr:row>
                    <xdr:rowOff>57150</xdr:rowOff>
                  </from>
                  <to>
                    <xdr:col>16</xdr:col>
                    <xdr:colOff>552450</xdr:colOff>
                    <xdr:row>4</xdr:row>
                    <xdr:rowOff>466725</xdr:rowOff>
                  </to>
                </anchor>
              </controlPr>
            </control>
          </mc:Choice>
        </mc:AlternateContent>
        <mc:AlternateContent xmlns:mc="http://schemas.openxmlformats.org/markup-compatibility/2006">
          <mc:Choice Requires="x14">
            <control shapeId="7188" r:id="rId8" name="Option Button 20">
              <controlPr defaultSize="0" print="0" autoFill="0" autoLine="0" autoPict="0">
                <anchor moveWithCells="1">
                  <from>
                    <xdr:col>13</xdr:col>
                    <xdr:colOff>123825</xdr:colOff>
                    <xdr:row>4</xdr:row>
                    <xdr:rowOff>190500</xdr:rowOff>
                  </from>
                  <to>
                    <xdr:col>14</xdr:col>
                    <xdr:colOff>76200</xdr:colOff>
                    <xdr:row>4</xdr:row>
                    <xdr:rowOff>409575</xdr:rowOff>
                  </to>
                </anchor>
              </controlPr>
            </control>
          </mc:Choice>
        </mc:AlternateContent>
        <mc:AlternateContent xmlns:mc="http://schemas.openxmlformats.org/markup-compatibility/2006">
          <mc:Choice Requires="x14">
            <control shapeId="7192" r:id="rId9" name="Option Button 24">
              <controlPr defaultSize="0" print="0" autoFill="0" autoLine="0" autoPict="0" macro="[0]!peças_horas_em_balanceamento_com_efic_geral">
                <anchor moveWithCells="1">
                  <from>
                    <xdr:col>14</xdr:col>
                    <xdr:colOff>133350</xdr:colOff>
                    <xdr:row>4</xdr:row>
                    <xdr:rowOff>190500</xdr:rowOff>
                  </from>
                  <to>
                    <xdr:col>15</xdr:col>
                    <xdr:colOff>314325</xdr:colOff>
                    <xdr:row>4</xdr:row>
                    <xdr:rowOff>409575</xdr:rowOff>
                  </to>
                </anchor>
              </controlPr>
            </control>
          </mc:Choice>
        </mc:AlternateContent>
        <mc:AlternateContent xmlns:mc="http://schemas.openxmlformats.org/markup-compatibility/2006">
          <mc:Choice Requires="x14">
            <control shapeId="7209" r:id="rId10" name="Option Button 41">
              <controlPr defaultSize="0" print="0" autoFill="0" autoLine="0" autoPict="0" macro="[0]!reexibir_coluna_efic_em_balanceamento_para_peças_horas_efic_máquinas">
                <anchor moveWithCells="1">
                  <from>
                    <xdr:col>15</xdr:col>
                    <xdr:colOff>371475</xdr:colOff>
                    <xdr:row>4</xdr:row>
                    <xdr:rowOff>190500</xdr:rowOff>
                  </from>
                  <to>
                    <xdr:col>16</xdr:col>
                    <xdr:colOff>495300</xdr:colOff>
                    <xdr:row>4</xdr:row>
                    <xdr:rowOff>409575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18"/>
  <dimension ref="A1:X32"/>
  <sheetViews>
    <sheetView workbookViewId="0">
      <pane ySplit="1" topLeftCell="A2" activePane="bottomLeft" state="frozen"/>
      <selection activeCell="B6" sqref="B6"/>
      <selection pane="bottomLeft"/>
    </sheetView>
  </sheetViews>
  <sheetFormatPr defaultRowHeight="15" x14ac:dyDescent="0.25"/>
  <cols>
    <col min="1" max="1" width="46.85546875" style="15" customWidth="1"/>
    <col min="2" max="2" width="66.7109375" style="15" customWidth="1"/>
    <col min="6" max="6" width="9.140625" customWidth="1"/>
  </cols>
  <sheetData>
    <row r="1" spans="1:24" ht="34.5" customHeight="1" x14ac:dyDescent="0.25">
      <c r="A1" s="264" t="str">
        <f>F1</f>
        <v>Cliente</v>
      </c>
      <c r="B1" s="264" t="str">
        <f>CONCATENATE("Observações ",F1," nas OPs")</f>
        <v>Observações Cliente nas OPs</v>
      </c>
      <c r="C1" s="157"/>
      <c r="D1" s="157"/>
      <c r="E1" s="157"/>
      <c r="F1" s="252" t="s">
        <v>99</v>
      </c>
      <c r="G1" s="157"/>
      <c r="H1" s="157"/>
      <c r="I1" s="157"/>
      <c r="J1" s="157"/>
      <c r="K1" s="157"/>
      <c r="L1" s="157"/>
      <c r="M1" s="157"/>
      <c r="N1" s="157"/>
      <c r="O1" s="157"/>
      <c r="P1" s="157"/>
      <c r="Q1" s="157"/>
      <c r="R1" s="157"/>
      <c r="S1" s="157"/>
      <c r="T1" s="157"/>
      <c r="U1" s="157"/>
      <c r="V1" s="157"/>
      <c r="W1" s="157"/>
      <c r="X1" s="157"/>
    </row>
    <row r="2" spans="1:24" ht="41.25" customHeight="1" x14ac:dyDescent="0.25">
      <c r="A2" s="162" t="s">
        <v>96</v>
      </c>
      <c r="B2" s="161"/>
      <c r="C2" s="157"/>
      <c r="D2" s="157"/>
      <c r="E2" s="157"/>
      <c r="F2" s="157"/>
      <c r="G2" s="157"/>
      <c r="H2" s="157"/>
      <c r="I2" s="157"/>
      <c r="J2" s="157"/>
      <c r="K2" s="157"/>
      <c r="L2" s="157"/>
      <c r="M2" s="157"/>
      <c r="N2" s="157"/>
      <c r="O2" s="157"/>
      <c r="P2" s="157"/>
      <c r="Q2" s="157"/>
      <c r="R2" s="157"/>
      <c r="S2" s="157"/>
      <c r="T2" s="157"/>
      <c r="U2" s="157"/>
      <c r="V2" s="157"/>
      <c r="W2" s="157"/>
      <c r="X2" s="157"/>
    </row>
    <row r="3" spans="1:24" ht="41.25" customHeight="1" x14ac:dyDescent="0.25">
      <c r="A3" s="162" t="s">
        <v>44</v>
      </c>
      <c r="B3" s="161" t="s">
        <v>98</v>
      </c>
      <c r="C3" s="157"/>
      <c r="D3" s="157"/>
      <c r="E3" s="157"/>
      <c r="F3" s="157"/>
      <c r="G3" s="157"/>
      <c r="H3" s="157"/>
      <c r="I3" s="157"/>
      <c r="J3" s="157"/>
      <c r="K3" s="157"/>
      <c r="L3" s="157"/>
      <c r="M3" s="157"/>
      <c r="N3" s="157"/>
      <c r="O3" s="157"/>
      <c r="P3" s="157"/>
      <c r="Q3" s="157"/>
      <c r="R3" s="157"/>
      <c r="S3" s="157"/>
      <c r="T3" s="157"/>
      <c r="U3" s="157"/>
      <c r="V3" s="157"/>
      <c r="W3" s="157"/>
      <c r="X3" s="157"/>
    </row>
    <row r="4" spans="1:24" ht="41.25" customHeight="1" x14ac:dyDescent="0.25">
      <c r="A4" s="162" t="s">
        <v>95</v>
      </c>
      <c r="B4" s="161" t="s">
        <v>97</v>
      </c>
      <c r="C4" s="157"/>
      <c r="D4" s="157"/>
      <c r="E4" s="157"/>
      <c r="F4" s="157"/>
      <c r="G4" s="157"/>
      <c r="H4" s="157"/>
      <c r="I4" s="157"/>
      <c r="J4" s="157"/>
      <c r="K4" s="157"/>
      <c r="L4" s="157"/>
      <c r="M4" s="157"/>
      <c r="N4" s="157"/>
      <c r="O4" s="157"/>
      <c r="P4" s="157"/>
      <c r="Q4" s="157"/>
      <c r="R4" s="157"/>
      <c r="S4" s="157"/>
      <c r="T4" s="157"/>
      <c r="U4" s="157"/>
      <c r="V4" s="157"/>
      <c r="W4" s="157"/>
      <c r="X4" s="157"/>
    </row>
    <row r="5" spans="1:24" ht="29.1" customHeight="1" x14ac:dyDescent="0.25">
      <c r="A5" s="160"/>
      <c r="B5" s="158"/>
      <c r="C5" s="157"/>
      <c r="D5" s="157"/>
      <c r="E5" s="157"/>
      <c r="F5" s="157"/>
      <c r="G5" s="157"/>
      <c r="H5" s="157"/>
      <c r="I5" s="157"/>
      <c r="J5" s="157"/>
      <c r="K5" s="157"/>
      <c r="L5" s="157"/>
      <c r="M5" s="157"/>
      <c r="N5" s="157"/>
      <c r="O5" s="157"/>
      <c r="P5" s="157"/>
      <c r="Q5" s="157"/>
      <c r="R5" s="157"/>
      <c r="S5" s="157"/>
      <c r="T5" s="157"/>
      <c r="U5" s="157"/>
      <c r="V5" s="157"/>
      <c r="W5" s="157"/>
      <c r="X5" s="157"/>
    </row>
    <row r="6" spans="1:24" x14ac:dyDescent="0.25">
      <c r="A6" s="159"/>
      <c r="B6" s="159"/>
      <c r="C6" s="157"/>
      <c r="D6" s="157"/>
      <c r="E6" s="157"/>
      <c r="F6" s="157"/>
      <c r="G6" s="157"/>
      <c r="H6" s="157"/>
      <c r="I6" s="157"/>
      <c r="J6" s="157"/>
      <c r="K6" s="157"/>
      <c r="L6" s="157"/>
      <c r="M6" s="157"/>
      <c r="N6" s="157"/>
      <c r="O6" s="157"/>
      <c r="P6" s="157"/>
      <c r="Q6" s="157"/>
      <c r="R6" s="157"/>
      <c r="S6" s="157"/>
      <c r="T6" s="157"/>
      <c r="U6" s="157"/>
      <c r="V6" s="157"/>
      <c r="W6" s="157"/>
      <c r="X6" s="157"/>
    </row>
    <row r="7" spans="1:24" x14ac:dyDescent="0.25">
      <c r="A7" s="159"/>
      <c r="B7" s="159"/>
      <c r="C7" s="157"/>
      <c r="D7" s="157"/>
      <c r="E7" s="157"/>
      <c r="F7" s="157"/>
      <c r="G7" s="157"/>
      <c r="H7" s="157"/>
      <c r="I7" s="157"/>
      <c r="J7" s="157"/>
      <c r="K7" s="157"/>
      <c r="L7" s="157"/>
      <c r="M7" s="157"/>
      <c r="N7" s="157"/>
      <c r="O7" s="157"/>
      <c r="P7" s="157"/>
      <c r="Q7" s="157"/>
      <c r="R7" s="157"/>
      <c r="S7" s="157"/>
      <c r="T7" s="157"/>
      <c r="U7" s="157"/>
      <c r="V7" s="157"/>
      <c r="W7" s="157"/>
      <c r="X7" s="157"/>
    </row>
    <row r="8" spans="1:24" x14ac:dyDescent="0.25">
      <c r="A8" s="159"/>
      <c r="B8" s="159"/>
      <c r="C8" s="157"/>
      <c r="D8" s="157"/>
      <c r="E8" s="157"/>
      <c r="F8" s="157"/>
      <c r="G8" s="157"/>
      <c r="H8" s="157"/>
      <c r="I8" s="157"/>
      <c r="J8" s="157"/>
      <c r="K8" s="157"/>
      <c r="L8" s="157"/>
      <c r="M8" s="157"/>
      <c r="N8" s="157"/>
      <c r="O8" s="157"/>
      <c r="P8" s="157"/>
      <c r="Q8" s="157"/>
      <c r="R8" s="157"/>
      <c r="S8" s="157"/>
      <c r="T8" s="157"/>
      <c r="U8" s="157"/>
      <c r="V8" s="157"/>
      <c r="W8" s="157"/>
      <c r="X8" s="157"/>
    </row>
    <row r="9" spans="1:24" x14ac:dyDescent="0.25">
      <c r="A9" s="159"/>
      <c r="B9" s="159"/>
      <c r="C9" s="157"/>
      <c r="D9" s="157"/>
      <c r="E9" s="157"/>
      <c r="F9" s="157"/>
      <c r="G9" s="157"/>
      <c r="H9" s="157"/>
      <c r="I9" s="157"/>
      <c r="J9" s="157"/>
      <c r="K9" s="157"/>
      <c r="L9" s="157"/>
      <c r="M9" s="157"/>
      <c r="N9" s="157"/>
      <c r="O9" s="157"/>
      <c r="P9" s="157"/>
      <c r="Q9" s="157"/>
      <c r="R9" s="157"/>
      <c r="S9" s="157"/>
      <c r="T9" s="157"/>
      <c r="U9" s="157"/>
      <c r="V9" s="157"/>
      <c r="W9" s="157"/>
      <c r="X9" s="157"/>
    </row>
    <row r="10" spans="1:24" x14ac:dyDescent="0.25">
      <c r="A10" s="159"/>
      <c r="B10" s="159"/>
      <c r="C10" s="157"/>
      <c r="D10" s="157"/>
      <c r="E10" s="157"/>
      <c r="F10" s="157"/>
      <c r="G10" s="157"/>
      <c r="H10" s="157"/>
      <c r="I10" s="157"/>
      <c r="J10" s="157"/>
      <c r="K10" s="157"/>
      <c r="L10" s="157"/>
      <c r="M10" s="157"/>
      <c r="N10" s="157"/>
      <c r="O10" s="157"/>
      <c r="P10" s="157"/>
      <c r="Q10" s="157"/>
      <c r="R10" s="157"/>
      <c r="S10" s="157"/>
      <c r="T10" s="157"/>
      <c r="U10" s="157"/>
      <c r="V10" s="157"/>
      <c r="W10" s="157"/>
      <c r="X10" s="157"/>
    </row>
    <row r="11" spans="1:24" x14ac:dyDescent="0.25">
      <c r="A11" s="159"/>
      <c r="B11" s="159"/>
      <c r="C11" s="157"/>
      <c r="D11" s="157"/>
      <c r="E11" s="157"/>
      <c r="F11" s="157"/>
      <c r="G11" s="157"/>
      <c r="H11" s="157"/>
      <c r="I11" s="157"/>
      <c r="J11" s="157"/>
      <c r="K11" s="157"/>
      <c r="L11" s="157"/>
      <c r="M11" s="157"/>
      <c r="N11" s="157"/>
      <c r="O11" s="157"/>
      <c r="P11" s="157"/>
      <c r="Q11" s="157"/>
      <c r="R11" s="157"/>
      <c r="S11" s="157"/>
      <c r="T11" s="157"/>
      <c r="U11" s="157"/>
      <c r="V11" s="157"/>
      <c r="W11" s="157"/>
      <c r="X11" s="157"/>
    </row>
    <row r="12" spans="1:24" x14ac:dyDescent="0.25">
      <c r="A12" s="159"/>
      <c r="B12" s="159"/>
      <c r="C12" s="157"/>
      <c r="D12" s="157"/>
      <c r="E12" s="157"/>
      <c r="F12" s="157"/>
      <c r="G12" s="157"/>
      <c r="H12" s="157"/>
      <c r="I12" s="157"/>
      <c r="J12" s="157"/>
      <c r="K12" s="157"/>
      <c r="L12" s="157"/>
      <c r="M12" s="157"/>
      <c r="N12" s="157"/>
      <c r="O12" s="157"/>
      <c r="P12" s="157"/>
      <c r="Q12" s="157"/>
      <c r="R12" s="157"/>
      <c r="S12" s="157"/>
      <c r="T12" s="157"/>
      <c r="U12" s="157"/>
      <c r="V12" s="157"/>
      <c r="W12" s="157"/>
      <c r="X12" s="157"/>
    </row>
    <row r="13" spans="1:24" x14ac:dyDescent="0.25">
      <c r="A13" s="159"/>
      <c r="B13" s="159"/>
      <c r="C13" s="157"/>
      <c r="D13" s="157"/>
      <c r="E13" s="157"/>
      <c r="F13" s="157"/>
      <c r="G13" s="157"/>
      <c r="H13" s="157"/>
      <c r="I13" s="157"/>
      <c r="J13" s="157"/>
      <c r="K13" s="157"/>
      <c r="L13" s="157"/>
      <c r="M13" s="157"/>
      <c r="N13" s="157"/>
      <c r="O13" s="157"/>
      <c r="P13" s="157"/>
      <c r="Q13" s="157"/>
      <c r="R13" s="157"/>
      <c r="S13" s="157"/>
      <c r="T13" s="157"/>
      <c r="U13" s="157"/>
      <c r="V13" s="157"/>
      <c r="W13" s="157"/>
      <c r="X13" s="157"/>
    </row>
    <row r="14" spans="1:24" x14ac:dyDescent="0.25">
      <c r="A14" s="159"/>
      <c r="B14" s="159"/>
      <c r="C14" s="157"/>
      <c r="D14" s="157"/>
      <c r="E14" s="157"/>
      <c r="F14" s="157"/>
      <c r="G14" s="157"/>
      <c r="H14" s="157"/>
      <c r="I14" s="157"/>
      <c r="J14" s="157"/>
      <c r="K14" s="157"/>
      <c r="L14" s="157"/>
      <c r="M14" s="157"/>
      <c r="N14" s="157"/>
      <c r="O14" s="157"/>
      <c r="P14" s="157"/>
      <c r="Q14" s="157"/>
      <c r="R14" s="157"/>
      <c r="S14" s="157"/>
      <c r="T14" s="157"/>
      <c r="U14" s="157"/>
      <c r="V14" s="157"/>
      <c r="W14" s="157"/>
      <c r="X14" s="157"/>
    </row>
    <row r="15" spans="1:24" x14ac:dyDescent="0.25">
      <c r="A15" s="159"/>
      <c r="B15" s="159"/>
      <c r="C15" s="157"/>
      <c r="D15" s="157"/>
      <c r="E15" s="157"/>
      <c r="F15" s="157"/>
      <c r="G15" s="157"/>
      <c r="H15" s="157"/>
      <c r="I15" s="157"/>
      <c r="J15" s="157"/>
      <c r="K15" s="157"/>
      <c r="L15" s="157"/>
      <c r="M15" s="157"/>
      <c r="N15" s="157"/>
      <c r="O15" s="157"/>
      <c r="P15" s="157"/>
      <c r="Q15" s="157"/>
      <c r="R15" s="157"/>
      <c r="S15" s="157"/>
      <c r="T15" s="157"/>
      <c r="U15" s="157"/>
      <c r="V15" s="157"/>
      <c r="W15" s="157"/>
      <c r="X15" s="157"/>
    </row>
    <row r="16" spans="1:24" x14ac:dyDescent="0.25">
      <c r="A16" s="159"/>
      <c r="B16" s="159"/>
      <c r="C16" s="157"/>
      <c r="D16" s="157"/>
      <c r="E16" s="157"/>
      <c r="F16" s="157"/>
      <c r="G16" s="157"/>
      <c r="H16" s="157"/>
      <c r="I16" s="157"/>
      <c r="J16" s="157"/>
      <c r="K16" s="157"/>
      <c r="L16" s="157"/>
      <c r="M16" s="157"/>
      <c r="N16" s="157"/>
      <c r="O16" s="157"/>
      <c r="P16" s="157"/>
      <c r="Q16" s="157"/>
      <c r="R16" s="157"/>
      <c r="S16" s="157"/>
      <c r="T16" s="157"/>
      <c r="U16" s="157"/>
      <c r="V16" s="157"/>
      <c r="W16" s="157"/>
      <c r="X16" s="157"/>
    </row>
    <row r="17" spans="1:24" x14ac:dyDescent="0.25">
      <c r="A17" s="159"/>
      <c r="B17" s="159"/>
      <c r="C17" s="157"/>
      <c r="D17" s="157"/>
      <c r="E17" s="157"/>
      <c r="F17" s="157"/>
      <c r="G17" s="157"/>
      <c r="H17" s="157"/>
      <c r="I17" s="157"/>
      <c r="J17" s="157"/>
      <c r="K17" s="157"/>
      <c r="L17" s="157"/>
      <c r="M17" s="157"/>
      <c r="N17" s="157"/>
      <c r="O17" s="157"/>
      <c r="P17" s="157"/>
      <c r="Q17" s="157"/>
      <c r="R17" s="157"/>
      <c r="S17" s="157"/>
      <c r="T17" s="157"/>
      <c r="U17" s="157"/>
      <c r="V17" s="157"/>
      <c r="W17" s="157"/>
      <c r="X17" s="157"/>
    </row>
    <row r="18" spans="1:24" x14ac:dyDescent="0.25">
      <c r="A18" s="159"/>
      <c r="B18" s="159"/>
      <c r="C18" s="157"/>
      <c r="D18" s="157"/>
      <c r="E18" s="157"/>
      <c r="F18" s="157"/>
      <c r="G18" s="157"/>
      <c r="H18" s="157"/>
      <c r="I18" s="157"/>
      <c r="J18" s="157"/>
      <c r="K18" s="157"/>
      <c r="L18" s="157"/>
      <c r="M18" s="157"/>
      <c r="N18" s="157"/>
      <c r="O18" s="157"/>
      <c r="P18" s="157"/>
      <c r="Q18" s="157"/>
      <c r="R18" s="157"/>
      <c r="S18" s="157"/>
      <c r="T18" s="157"/>
      <c r="U18" s="157"/>
      <c r="V18" s="157"/>
      <c r="W18" s="157"/>
      <c r="X18" s="157"/>
    </row>
    <row r="19" spans="1:24" x14ac:dyDescent="0.25">
      <c r="A19" s="159"/>
      <c r="B19" s="159"/>
      <c r="C19" s="157"/>
      <c r="D19" s="157"/>
      <c r="E19" s="157"/>
      <c r="F19" s="157"/>
      <c r="G19" s="157"/>
      <c r="H19" s="157"/>
      <c r="I19" s="157"/>
      <c r="J19" s="157"/>
      <c r="K19" s="157"/>
      <c r="L19" s="157"/>
      <c r="M19" s="157"/>
      <c r="N19" s="157"/>
      <c r="O19" s="157"/>
      <c r="P19" s="157"/>
      <c r="Q19" s="157"/>
      <c r="R19" s="157"/>
      <c r="S19" s="157"/>
      <c r="T19" s="157"/>
      <c r="U19" s="157"/>
      <c r="V19" s="157"/>
      <c r="W19" s="157"/>
      <c r="X19" s="157"/>
    </row>
    <row r="20" spans="1:24" x14ac:dyDescent="0.25">
      <c r="A20" s="159"/>
      <c r="B20" s="159"/>
      <c r="C20" s="157"/>
      <c r="D20" s="157"/>
      <c r="E20" s="157"/>
      <c r="F20" s="157"/>
      <c r="G20" s="157"/>
      <c r="H20" s="157"/>
      <c r="I20" s="157"/>
      <c r="J20" s="157"/>
      <c r="K20" s="157"/>
      <c r="L20" s="157"/>
      <c r="M20" s="157"/>
      <c r="N20" s="157"/>
      <c r="O20" s="157"/>
      <c r="P20" s="157"/>
      <c r="Q20" s="157"/>
      <c r="R20" s="157"/>
      <c r="S20" s="157"/>
      <c r="T20" s="157"/>
      <c r="U20" s="157"/>
      <c r="V20" s="157"/>
      <c r="W20" s="157"/>
      <c r="X20" s="157"/>
    </row>
    <row r="21" spans="1:24" x14ac:dyDescent="0.25">
      <c r="A21" s="159"/>
      <c r="B21" s="159"/>
      <c r="C21" s="157"/>
      <c r="D21" s="157"/>
      <c r="E21" s="157"/>
      <c r="F21" s="157"/>
      <c r="G21" s="157"/>
      <c r="H21" s="157"/>
      <c r="I21" s="157"/>
      <c r="J21" s="157"/>
      <c r="K21" s="157"/>
      <c r="L21" s="157"/>
      <c r="M21" s="157"/>
      <c r="N21" s="157"/>
      <c r="O21" s="157"/>
      <c r="P21" s="157"/>
      <c r="Q21" s="157"/>
      <c r="R21" s="157"/>
      <c r="S21" s="157"/>
      <c r="T21" s="157"/>
      <c r="U21" s="157"/>
      <c r="V21" s="157"/>
      <c r="W21" s="157"/>
      <c r="X21" s="157"/>
    </row>
    <row r="22" spans="1:24" x14ac:dyDescent="0.25">
      <c r="A22" s="159"/>
      <c r="B22" s="159"/>
      <c r="C22" s="157"/>
      <c r="D22" s="157"/>
      <c r="E22" s="157"/>
      <c r="F22" s="157"/>
      <c r="G22" s="157"/>
      <c r="H22" s="157"/>
      <c r="I22" s="157"/>
      <c r="J22" s="157"/>
      <c r="K22" s="157"/>
      <c r="L22" s="157"/>
      <c r="M22" s="157"/>
      <c r="N22" s="157"/>
      <c r="O22" s="157"/>
      <c r="P22" s="157"/>
      <c r="Q22" s="157"/>
      <c r="R22" s="157"/>
      <c r="S22" s="157"/>
      <c r="T22" s="157"/>
      <c r="U22" s="157"/>
      <c r="V22" s="157"/>
      <c r="W22" s="157"/>
      <c r="X22" s="157"/>
    </row>
    <row r="23" spans="1:24" x14ac:dyDescent="0.25">
      <c r="A23" s="159"/>
      <c r="B23" s="159"/>
      <c r="C23" s="157"/>
      <c r="D23" s="157"/>
      <c r="E23" s="157"/>
      <c r="F23" s="157"/>
      <c r="G23" s="157"/>
      <c r="H23" s="157"/>
      <c r="I23" s="157"/>
      <c r="J23" s="157"/>
      <c r="K23" s="157"/>
      <c r="L23" s="157"/>
      <c r="M23" s="157"/>
      <c r="N23" s="157"/>
      <c r="O23" s="157"/>
      <c r="P23" s="157"/>
      <c r="Q23" s="157"/>
      <c r="R23" s="157"/>
      <c r="S23" s="157"/>
      <c r="T23" s="157"/>
      <c r="U23" s="157"/>
      <c r="V23" s="157"/>
      <c r="W23" s="157"/>
      <c r="X23" s="157"/>
    </row>
    <row r="24" spans="1:24" x14ac:dyDescent="0.25">
      <c r="A24" s="159"/>
      <c r="B24" s="159"/>
      <c r="C24" s="157"/>
      <c r="D24" s="157"/>
      <c r="E24" s="157"/>
      <c r="F24" s="157"/>
      <c r="G24" s="157"/>
      <c r="H24" s="157"/>
      <c r="I24" s="157"/>
      <c r="J24" s="157"/>
      <c r="K24" s="157"/>
      <c r="L24" s="157"/>
      <c r="M24" s="157"/>
      <c r="N24" s="157"/>
      <c r="O24" s="157"/>
      <c r="P24" s="157"/>
      <c r="Q24" s="157"/>
      <c r="R24" s="157"/>
      <c r="S24" s="157"/>
      <c r="T24" s="157"/>
      <c r="U24" s="157"/>
      <c r="V24" s="157"/>
      <c r="W24" s="157"/>
      <c r="X24" s="157"/>
    </row>
    <row r="25" spans="1:24" x14ac:dyDescent="0.25">
      <c r="A25" s="159"/>
      <c r="B25" s="159"/>
      <c r="C25" s="157"/>
      <c r="D25" s="157"/>
      <c r="E25" s="157"/>
      <c r="F25" s="157"/>
      <c r="G25" s="157"/>
      <c r="H25" s="157"/>
      <c r="I25" s="157"/>
      <c r="J25" s="157"/>
      <c r="K25" s="157"/>
      <c r="L25" s="157"/>
      <c r="M25" s="157"/>
      <c r="N25" s="157"/>
      <c r="O25" s="157"/>
      <c r="P25" s="157"/>
      <c r="Q25" s="157"/>
      <c r="R25" s="157"/>
      <c r="S25" s="157"/>
      <c r="T25" s="157"/>
      <c r="U25" s="157"/>
      <c r="V25" s="157"/>
      <c r="W25" s="157"/>
      <c r="X25" s="157"/>
    </row>
    <row r="26" spans="1:24" x14ac:dyDescent="0.25">
      <c r="A26" s="159"/>
      <c r="B26" s="159"/>
      <c r="C26" s="157"/>
      <c r="D26" s="157"/>
      <c r="E26" s="157"/>
      <c r="F26" s="157"/>
      <c r="G26" s="157"/>
      <c r="H26" s="157"/>
      <c r="I26" s="157"/>
      <c r="J26" s="157"/>
      <c r="K26" s="157"/>
      <c r="L26" s="157"/>
      <c r="M26" s="157"/>
      <c r="N26" s="157"/>
      <c r="O26" s="157"/>
      <c r="P26" s="157"/>
      <c r="Q26" s="157"/>
      <c r="R26" s="157"/>
      <c r="S26" s="157"/>
      <c r="T26" s="157"/>
      <c r="U26" s="157"/>
      <c r="V26" s="157"/>
      <c r="W26" s="157"/>
      <c r="X26" s="157"/>
    </row>
    <row r="27" spans="1:24" x14ac:dyDescent="0.25">
      <c r="A27" s="159"/>
      <c r="B27" s="159"/>
      <c r="C27" s="157"/>
      <c r="D27" s="157"/>
      <c r="E27" s="157"/>
      <c r="F27" s="157"/>
      <c r="G27" s="157"/>
      <c r="H27" s="157"/>
      <c r="I27" s="157"/>
      <c r="J27" s="157"/>
      <c r="K27" s="157"/>
      <c r="L27" s="157"/>
      <c r="M27" s="157"/>
      <c r="N27" s="157"/>
      <c r="O27" s="157"/>
      <c r="P27" s="157"/>
      <c r="Q27" s="157"/>
      <c r="R27" s="157"/>
      <c r="S27" s="157"/>
      <c r="T27" s="157"/>
      <c r="U27" s="157"/>
      <c r="V27" s="157"/>
      <c r="W27" s="157"/>
      <c r="X27" s="157"/>
    </row>
    <row r="28" spans="1:24" x14ac:dyDescent="0.25">
      <c r="A28" s="159"/>
      <c r="B28" s="159"/>
      <c r="C28" s="157"/>
      <c r="D28" s="157"/>
      <c r="E28" s="157"/>
      <c r="F28" s="157"/>
      <c r="G28" s="157"/>
      <c r="H28" s="157"/>
      <c r="I28" s="157"/>
      <c r="J28" s="157"/>
      <c r="K28" s="157"/>
      <c r="L28" s="157"/>
      <c r="M28" s="157"/>
      <c r="N28" s="157"/>
      <c r="O28" s="157"/>
      <c r="P28" s="157"/>
      <c r="Q28" s="157"/>
      <c r="R28" s="157"/>
      <c r="S28" s="157"/>
      <c r="T28" s="157"/>
      <c r="U28" s="157"/>
      <c r="V28" s="157"/>
      <c r="W28" s="157"/>
      <c r="X28" s="157"/>
    </row>
    <row r="29" spans="1:24" x14ac:dyDescent="0.25">
      <c r="A29" s="159"/>
      <c r="B29" s="159"/>
      <c r="C29" s="157"/>
      <c r="D29" s="157"/>
      <c r="E29" s="157"/>
      <c r="F29" s="157"/>
      <c r="G29" s="157"/>
      <c r="H29" s="157"/>
      <c r="I29" s="157"/>
      <c r="J29" s="157"/>
      <c r="K29" s="157"/>
      <c r="L29" s="157"/>
      <c r="M29" s="157"/>
      <c r="N29" s="157"/>
      <c r="O29" s="157"/>
      <c r="P29" s="157"/>
      <c r="Q29" s="157"/>
      <c r="R29" s="157"/>
      <c r="S29" s="157"/>
      <c r="T29" s="157"/>
      <c r="U29" s="157"/>
      <c r="V29" s="157"/>
      <c r="W29" s="157"/>
      <c r="X29" s="157"/>
    </row>
    <row r="30" spans="1:24" x14ac:dyDescent="0.25">
      <c r="A30" s="159"/>
      <c r="B30" s="159"/>
      <c r="C30" s="157"/>
      <c r="D30" s="157"/>
      <c r="E30" s="157"/>
      <c r="F30" s="157"/>
      <c r="G30" s="157"/>
      <c r="H30" s="157"/>
      <c r="I30" s="157"/>
      <c r="J30" s="157"/>
      <c r="K30" s="157"/>
      <c r="L30" s="157"/>
      <c r="M30" s="157"/>
      <c r="N30" s="157"/>
      <c r="O30" s="157"/>
      <c r="P30" s="157"/>
      <c r="Q30" s="157"/>
      <c r="R30" s="157"/>
      <c r="S30" s="157"/>
      <c r="T30" s="157"/>
      <c r="U30" s="157"/>
      <c r="V30" s="157"/>
      <c r="W30" s="157"/>
      <c r="X30" s="157"/>
    </row>
    <row r="31" spans="1:24" x14ac:dyDescent="0.25">
      <c r="A31" s="159"/>
      <c r="B31" s="159"/>
      <c r="C31" s="157"/>
      <c r="D31" s="157"/>
      <c r="E31" s="157"/>
      <c r="F31" s="157"/>
      <c r="G31" s="157"/>
      <c r="H31" s="157"/>
      <c r="I31" s="157"/>
      <c r="J31" s="157"/>
      <c r="K31" s="157"/>
      <c r="L31" s="157"/>
      <c r="M31" s="157"/>
      <c r="N31" s="157"/>
      <c r="O31" s="157"/>
      <c r="P31" s="157"/>
      <c r="Q31" s="157"/>
      <c r="R31" s="157"/>
      <c r="S31" s="157"/>
      <c r="T31" s="157"/>
      <c r="U31" s="157"/>
      <c r="V31" s="157"/>
      <c r="W31" s="157"/>
      <c r="X31" s="157"/>
    </row>
    <row r="32" spans="1:24" x14ac:dyDescent="0.25">
      <c r="A32" s="159"/>
      <c r="B32" s="159"/>
      <c r="C32" s="157"/>
      <c r="D32" s="157"/>
      <c r="E32" s="157"/>
      <c r="F32" s="157"/>
      <c r="G32" s="157"/>
      <c r="H32" s="157"/>
      <c r="I32" s="157"/>
      <c r="J32" s="157"/>
      <c r="K32" s="157"/>
      <c r="L32" s="157"/>
      <c r="M32" s="157"/>
      <c r="N32" s="157"/>
      <c r="O32" s="157"/>
      <c r="P32" s="157"/>
      <c r="Q32" s="157"/>
      <c r="R32" s="157"/>
      <c r="S32" s="157"/>
      <c r="T32" s="157"/>
      <c r="U32" s="157"/>
      <c r="V32" s="157"/>
      <c r="W32" s="157"/>
      <c r="X32" s="157"/>
    </row>
  </sheetData>
  <sheetProtection sheet="1" objects="1" scenarios="1"/>
  <sortState xmlns:xlrd2="http://schemas.microsoft.com/office/spreadsheetml/2017/richdata2" ref="A2:B32">
    <sortCondition ref="A2:A10000"/>
  </sortState>
  <dataValidations xWindow="994" yWindow="244" count="2">
    <dataValidation type="list" showInputMessage="1" showErrorMessage="1" errorTitle="OPÇÃO INVÁLIDA!" error="Clique na célula para buscar uma opção válida." promptTitle="Usuário:" prompt="Desproteja a Planilha e escolha a opção que utilizará. Coleção ou Cliente." sqref="F1" xr:uid="{00000000-0002-0000-0700-000000000000}">
      <formula1>"Coleção,Cliente"</formula1>
    </dataValidation>
    <dataValidation type="custom" allowBlank="1" showInputMessage="1" showErrorMessage="1" errorTitle="CLIENTE JÁ CADASTRADO!" error="Clique em &quot;Repetir&quot; para alterar ou &quot;Cancelar&quot;." sqref="A2:A4" xr:uid="{00000000-0002-0000-0700-000001000000}">
      <formula1>COUNTIF(A:A,A2) = 1</formula1>
    </dataValidation>
  </dataValidations>
  <pageMargins left="0.51181102362204722" right="0.51181102362204722" top="0.78740157480314965" bottom="0.78740157480314965" header="0.31496062992125984" footer="0.31496062992125984"/>
  <pageSetup paperSize="9" orientation="portrait" blackAndWhite="1" verticalDpi="4294967293"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Plan15">
    <pageSetUpPr fitToPage="1"/>
  </sheetPr>
  <dimension ref="A1:AD50"/>
  <sheetViews>
    <sheetView showZeros="0" zoomScaleNormal="100" workbookViewId="0">
      <pane xSplit="16" ySplit="14" topLeftCell="Q52" activePane="bottomRight" state="frozen"/>
      <selection pane="topRight" activeCell="Q1" sqref="Q1"/>
      <selection pane="bottomLeft" activeCell="A15" sqref="A15"/>
      <selection pane="bottomRight" activeCell="B1" sqref="B1"/>
    </sheetView>
  </sheetViews>
  <sheetFormatPr defaultRowHeight="12.75" x14ac:dyDescent="0.2"/>
  <cols>
    <col min="1" max="1" width="20.7109375" style="125" customWidth="1"/>
    <col min="2" max="14" width="11.7109375" style="121" customWidth="1"/>
    <col min="15" max="15" width="7" style="121" customWidth="1"/>
    <col min="16" max="16" width="5.85546875" style="123" hidden="1" customWidth="1"/>
    <col min="17" max="27" width="9.140625" style="121"/>
    <col min="28" max="28" width="10.7109375" style="121" bestFit="1" customWidth="1"/>
    <col min="29" max="16384" width="9.140625" style="121"/>
  </cols>
  <sheetData>
    <row r="1" spans="1:26" ht="21" customHeight="1" x14ac:dyDescent="0.25">
      <c r="A1" s="150" t="s">
        <v>42</v>
      </c>
      <c r="B1" s="140"/>
      <c r="C1" s="153"/>
      <c r="D1" s="153"/>
      <c r="E1" s="153"/>
      <c r="F1" s="153"/>
      <c r="G1" s="153"/>
      <c r="H1" s="153"/>
      <c r="I1" s="153"/>
      <c r="J1" s="153"/>
      <c r="K1" s="153"/>
      <c r="L1" s="153"/>
      <c r="M1" s="153"/>
      <c r="N1" s="153"/>
      <c r="O1" s="153"/>
      <c r="P1" s="123" t="str">
        <f>IF(B1=0,"não",IF(ISERROR(VLOOKUP(B1,'BD da OP'!A:A,1,FALSE)),"não",VLOOKUP(B1,'BD da OP'!A:A,1,FALSE)))</f>
        <v>não</v>
      </c>
      <c r="Q1" s="153"/>
      <c r="R1" s="153"/>
      <c r="S1" s="153"/>
      <c r="T1" s="153"/>
      <c r="U1" s="153"/>
      <c r="V1" s="153"/>
      <c r="W1" s="153"/>
      <c r="X1" s="153"/>
      <c r="Y1" s="153"/>
      <c r="Z1" s="153"/>
    </row>
    <row r="2" spans="1:26" ht="21" customHeight="1" x14ac:dyDescent="0.25">
      <c r="A2" s="150" t="s">
        <v>67</v>
      </c>
      <c r="B2" s="139">
        <f ca="1">TODAY()</f>
        <v>46133</v>
      </c>
      <c r="C2" s="154"/>
      <c r="D2" s="153"/>
      <c r="E2" s="153"/>
      <c r="F2" s="153"/>
      <c r="G2" s="153"/>
      <c r="H2" s="153"/>
      <c r="I2" s="153"/>
      <c r="J2" s="153"/>
      <c r="K2" s="153"/>
      <c r="L2" s="153"/>
      <c r="M2" s="153"/>
      <c r="N2" s="153"/>
      <c r="O2" s="153"/>
      <c r="P2" s="123" t="str">
        <f>IF(B1=P1,"OP já cadastrada, se necessário poderá utilizar vírgula para diferenciar a mesma OP. Exemplo: OP 1234,1 / 1234,2  .....","")</f>
        <v/>
      </c>
      <c r="Q2" s="153"/>
      <c r="R2" s="153"/>
      <c r="S2" s="153"/>
      <c r="T2" s="153"/>
      <c r="U2" s="153"/>
      <c r="V2" s="153"/>
      <c r="W2" s="153"/>
      <c r="X2" s="153"/>
      <c r="Y2" s="153"/>
      <c r="Z2" s="153"/>
    </row>
    <row r="3" spans="1:26" ht="21" customHeight="1" x14ac:dyDescent="0.25">
      <c r="A3" s="150" t="s">
        <v>68</v>
      </c>
      <c r="B3" s="141"/>
      <c r="C3" s="153" t="str">
        <f>IF(P1&lt;&gt;"não","",IF(B3=0,"",VLOOKUP(B3,Ref!A:B,2,FALSE)))</f>
        <v/>
      </c>
      <c r="D3" s="153"/>
      <c r="E3" s="153"/>
      <c r="F3" s="153"/>
      <c r="G3" s="153"/>
      <c r="H3" s="153"/>
      <c r="I3" s="153"/>
      <c r="J3" s="153"/>
      <c r="K3" s="153"/>
      <c r="L3" s="153"/>
      <c r="M3" s="153"/>
      <c r="N3" s="153"/>
      <c r="O3" s="153"/>
      <c r="P3" s="123" t="str">
        <f>IF(B1=0,"- - - - - -",IF(B2=0,"- - - - - -",IF(B3=0,"- - - - - -","Cadastrar")))</f>
        <v>- - - - - -</v>
      </c>
      <c r="Q3" s="153"/>
      <c r="R3" s="153"/>
      <c r="S3" s="153"/>
      <c r="T3" s="153"/>
      <c r="U3" s="153"/>
      <c r="V3" s="153"/>
      <c r="W3" s="153"/>
      <c r="X3" s="153"/>
      <c r="Y3" s="153"/>
      <c r="Z3" s="153"/>
    </row>
    <row r="4" spans="1:26" ht="21" customHeight="1" x14ac:dyDescent="0.25">
      <c r="A4" s="150" t="s">
        <v>69</v>
      </c>
      <c r="B4" s="186"/>
      <c r="C4" s="186"/>
      <c r="D4" s="186"/>
      <c r="E4" s="186"/>
      <c r="F4" s="186"/>
      <c r="G4" s="186"/>
      <c r="H4" s="186"/>
      <c r="I4" s="186"/>
      <c r="J4" s="186"/>
      <c r="K4" s="186"/>
      <c r="L4" s="153"/>
      <c r="M4" s="153"/>
      <c r="N4" s="153"/>
      <c r="O4" s="153"/>
      <c r="P4" s="123" t="str">
        <f>Cliente!F1</f>
        <v>Cliente</v>
      </c>
      <c r="Q4" s="153"/>
      <c r="R4" s="153"/>
      <c r="S4" s="153"/>
      <c r="T4" s="153"/>
      <c r="U4" s="153"/>
      <c r="V4" s="153"/>
      <c r="W4" s="153"/>
      <c r="X4" s="153"/>
      <c r="Y4" s="153"/>
      <c r="Z4" s="153"/>
    </row>
    <row r="5" spans="1:26" ht="21" customHeight="1" x14ac:dyDescent="0.25">
      <c r="A5" s="150" t="s">
        <v>70</v>
      </c>
      <c r="B5" s="187"/>
      <c r="C5" s="187"/>
      <c r="D5" s="187"/>
      <c r="E5" s="187"/>
      <c r="F5" s="187"/>
      <c r="G5" s="187"/>
      <c r="H5" s="187"/>
      <c r="I5" s="187"/>
      <c r="J5" s="187"/>
      <c r="K5" s="187"/>
      <c r="L5" s="153"/>
      <c r="M5" s="153"/>
      <c r="N5" s="153"/>
      <c r="O5" s="153"/>
      <c r="Q5" s="153"/>
      <c r="R5" s="153"/>
      <c r="S5" s="153"/>
      <c r="T5" s="153"/>
      <c r="U5" s="153"/>
      <c r="V5" s="153"/>
      <c r="W5" s="153"/>
      <c r="X5" s="153"/>
      <c r="Y5" s="153"/>
      <c r="Z5" s="153"/>
    </row>
    <row r="6" spans="1:26" ht="21" customHeight="1" x14ac:dyDescent="0.25">
      <c r="A6" s="150" t="s">
        <v>73</v>
      </c>
      <c r="B6" s="142"/>
      <c r="C6" s="153"/>
      <c r="D6" s="153"/>
      <c r="E6" s="153"/>
      <c r="F6" s="153"/>
      <c r="G6" s="153"/>
      <c r="H6" s="153"/>
      <c r="I6" s="153"/>
      <c r="J6" s="153"/>
      <c r="K6" s="153"/>
      <c r="L6" s="153"/>
      <c r="M6" s="153"/>
      <c r="N6" s="153"/>
      <c r="O6" s="153"/>
      <c r="Q6" s="153"/>
      <c r="R6" s="153"/>
      <c r="S6" s="153"/>
      <c r="T6" s="153"/>
      <c r="U6" s="153"/>
      <c r="V6" s="153"/>
      <c r="W6" s="153"/>
      <c r="X6" s="153"/>
      <c r="Y6" s="153"/>
      <c r="Z6" s="153"/>
    </row>
    <row r="7" spans="1:26" ht="21" customHeight="1" x14ac:dyDescent="0.25">
      <c r="A7" s="150" t="str">
        <f>CONCATENATE(Cliente!F1," :")</f>
        <v>Cliente :</v>
      </c>
      <c r="B7" s="307"/>
      <c r="C7" s="310"/>
      <c r="D7" s="310"/>
      <c r="E7" s="310"/>
      <c r="F7" s="310"/>
      <c r="G7" s="153"/>
      <c r="H7" s="153"/>
      <c r="I7" s="153"/>
      <c r="J7" s="153"/>
      <c r="K7" s="153"/>
      <c r="L7" s="153"/>
      <c r="M7" s="153"/>
      <c r="N7" s="153"/>
      <c r="O7" s="153"/>
      <c r="Q7" s="153"/>
      <c r="R7" s="153"/>
      <c r="S7" s="153"/>
      <c r="T7" s="153"/>
      <c r="U7" s="153"/>
      <c r="V7" s="153"/>
      <c r="W7" s="153"/>
      <c r="X7" s="153"/>
      <c r="Y7" s="153"/>
      <c r="Z7" s="153"/>
    </row>
    <row r="8" spans="1:26" ht="21" customHeight="1" x14ac:dyDescent="0.25">
      <c r="A8" s="150" t="s">
        <v>72</v>
      </c>
      <c r="B8" s="139"/>
      <c r="C8" s="153"/>
      <c r="D8" s="153"/>
      <c r="E8" s="153"/>
      <c r="F8" s="153"/>
      <c r="G8" s="153"/>
      <c r="H8" s="153"/>
      <c r="I8" s="155" t="s">
        <v>124</v>
      </c>
      <c r="J8" s="153"/>
      <c r="K8" s="153"/>
      <c r="L8" s="153"/>
      <c r="M8" s="153"/>
      <c r="N8" s="153"/>
      <c r="O8" s="153"/>
      <c r="Q8" s="153"/>
      <c r="R8" s="153"/>
      <c r="S8" s="153"/>
      <c r="T8" s="153"/>
      <c r="U8" s="153"/>
      <c r="V8" s="153"/>
      <c r="W8" s="153"/>
      <c r="X8" s="153"/>
      <c r="Y8" s="153"/>
      <c r="Z8" s="153"/>
    </row>
    <row r="9" spans="1:26" ht="41.25" customHeight="1" x14ac:dyDescent="0.2">
      <c r="A9" s="151" t="s">
        <v>94</v>
      </c>
      <c r="B9" s="311"/>
      <c r="C9" s="311"/>
      <c r="D9" s="311"/>
      <c r="E9" s="311"/>
      <c r="F9" s="311"/>
      <c r="G9" s="311"/>
      <c r="H9" s="153"/>
      <c r="I9" s="309" t="s">
        <v>126</v>
      </c>
      <c r="J9" s="309"/>
      <c r="K9" s="309"/>
      <c r="L9" s="309"/>
      <c r="M9" s="309"/>
      <c r="N9" s="309"/>
      <c r="O9" s="153"/>
      <c r="Q9" s="153"/>
      <c r="R9" s="153"/>
      <c r="S9" s="153"/>
      <c r="T9" s="153"/>
      <c r="U9" s="153"/>
      <c r="V9" s="153"/>
      <c r="W9" s="153"/>
      <c r="X9" s="153"/>
      <c r="Y9" s="153"/>
      <c r="Z9" s="153"/>
    </row>
    <row r="10" spans="1:26" ht="12.75" customHeight="1" x14ac:dyDescent="0.2">
      <c r="A10" s="152"/>
      <c r="B10" s="153"/>
      <c r="C10" s="153"/>
      <c r="D10" s="153"/>
      <c r="E10" s="153"/>
      <c r="F10" s="153"/>
      <c r="G10" s="153"/>
      <c r="H10" s="153"/>
      <c r="I10" s="153"/>
      <c r="J10" s="153"/>
      <c r="K10" s="153"/>
      <c r="L10" s="153"/>
      <c r="M10" s="153"/>
      <c r="N10" s="153"/>
      <c r="O10" s="153"/>
      <c r="Q10" s="153"/>
      <c r="R10" s="153"/>
      <c r="S10" s="153"/>
      <c r="T10" s="153"/>
      <c r="U10" s="153"/>
      <c r="V10" s="153"/>
      <c r="W10" s="153"/>
      <c r="X10" s="153"/>
      <c r="Y10" s="153"/>
      <c r="Z10" s="153"/>
    </row>
    <row r="11" spans="1:26" ht="41.25" customHeight="1" x14ac:dyDescent="0.2">
      <c r="A11" s="156" t="str">
        <f>CONCATENATE("Observações do cadastro ",Cliente!F1)</f>
        <v>Observações do cadastro Cliente</v>
      </c>
      <c r="B11" s="309" t="str">
        <f>IF(B7=0,"",IF(ISERROR(VLOOKUP(B7,Cliente!A:B,2,FALSE)),"",VLOOKUP(B7,Cliente!A:B,2,FALSE)))</f>
        <v/>
      </c>
      <c r="C11" s="309"/>
      <c r="D11" s="309"/>
      <c r="E11" s="309"/>
      <c r="F11" s="309"/>
      <c r="G11" s="309"/>
      <c r="H11" s="153"/>
      <c r="I11" s="309" t="s">
        <v>98</v>
      </c>
      <c r="J11" s="309"/>
      <c r="K11" s="309"/>
      <c r="L11" s="309"/>
      <c r="M11" s="309"/>
      <c r="N11" s="309"/>
      <c r="O11" s="153"/>
      <c r="Q11" s="153"/>
      <c r="R11" s="153"/>
      <c r="S11" s="153"/>
      <c r="T11" s="153"/>
      <c r="U11" s="153"/>
      <c r="V11" s="153"/>
      <c r="W11" s="153"/>
      <c r="X11" s="153"/>
      <c r="Y11" s="153"/>
      <c r="Z11" s="153"/>
    </row>
    <row r="12" spans="1:26" x14ac:dyDescent="0.2">
      <c r="A12" s="152"/>
      <c r="B12" s="153"/>
      <c r="C12" s="153"/>
      <c r="D12" s="153"/>
      <c r="E12" s="153"/>
      <c r="F12" s="153"/>
      <c r="G12" s="153"/>
      <c r="H12" s="153"/>
      <c r="I12" s="153"/>
      <c r="J12" s="153"/>
      <c r="K12" s="153"/>
      <c r="L12" s="153"/>
      <c r="M12" s="153"/>
      <c r="N12" s="153"/>
      <c r="O12" s="153"/>
      <c r="Q12" s="153"/>
      <c r="R12" s="153"/>
      <c r="S12" s="153"/>
      <c r="T12" s="153"/>
      <c r="U12" s="153"/>
      <c r="V12" s="153"/>
      <c r="W12" s="153"/>
      <c r="X12" s="153"/>
      <c r="Y12" s="153"/>
      <c r="Z12" s="153"/>
    </row>
    <row r="13" spans="1:26" ht="41.25" customHeight="1" x14ac:dyDescent="0.2">
      <c r="A13" s="152"/>
      <c r="B13" s="153"/>
      <c r="C13" s="153"/>
      <c r="D13" s="153"/>
      <c r="E13" s="153"/>
      <c r="F13" s="153"/>
      <c r="G13" s="153"/>
      <c r="H13" s="153"/>
      <c r="I13" s="309" t="s">
        <v>125</v>
      </c>
      <c r="J13" s="309"/>
      <c r="K13" s="309"/>
      <c r="L13" s="309"/>
      <c r="M13" s="309"/>
      <c r="N13" s="309"/>
      <c r="O13" s="153"/>
      <c r="Q13" s="153"/>
      <c r="R13" s="153"/>
      <c r="S13" s="153"/>
      <c r="T13" s="153"/>
      <c r="U13" s="153"/>
      <c r="V13" s="153"/>
      <c r="W13" s="153"/>
      <c r="X13" s="153"/>
      <c r="Y13" s="153"/>
      <c r="Z13" s="153"/>
    </row>
    <row r="14" spans="1:26" x14ac:dyDescent="0.2">
      <c r="A14" s="152"/>
      <c r="B14" s="153"/>
      <c r="C14" s="153"/>
      <c r="D14" s="153"/>
      <c r="E14" s="153"/>
      <c r="F14" s="153"/>
      <c r="G14" s="153"/>
      <c r="H14" s="153"/>
      <c r="I14" s="153"/>
      <c r="J14" s="153"/>
      <c r="K14" s="153"/>
      <c r="L14" s="153"/>
      <c r="M14" s="153"/>
      <c r="N14" s="153"/>
      <c r="O14" s="153"/>
      <c r="Q14" s="153"/>
      <c r="R14" s="153"/>
      <c r="S14" s="153"/>
      <c r="T14" s="153"/>
      <c r="U14" s="153"/>
      <c r="V14" s="153"/>
      <c r="W14" s="153"/>
      <c r="X14" s="153"/>
      <c r="Y14" s="153"/>
      <c r="Z14" s="153"/>
    </row>
    <row r="15" spans="1:26" x14ac:dyDescent="0.2">
      <c r="A15" s="152"/>
      <c r="B15" s="153"/>
      <c r="C15" s="153"/>
      <c r="D15" s="153"/>
      <c r="E15" s="153"/>
      <c r="F15" s="153"/>
      <c r="G15" s="153"/>
      <c r="H15" s="153"/>
      <c r="I15" s="153"/>
      <c r="J15" s="153"/>
      <c r="K15" s="153"/>
      <c r="L15" s="153"/>
      <c r="M15" s="153"/>
      <c r="N15" s="153"/>
      <c r="O15" s="153"/>
      <c r="Q15" s="153"/>
      <c r="R15" s="153"/>
      <c r="S15" s="153"/>
      <c r="T15" s="153"/>
      <c r="U15" s="153"/>
      <c r="V15" s="153"/>
      <c r="W15" s="153"/>
      <c r="X15" s="153"/>
      <c r="Y15" s="153"/>
      <c r="Z15" s="153"/>
    </row>
    <row r="16" spans="1:26" x14ac:dyDescent="0.2">
      <c r="A16" s="152"/>
      <c r="B16" s="153"/>
      <c r="C16" s="153"/>
      <c r="D16" s="153"/>
      <c r="E16" s="153"/>
      <c r="F16" s="153"/>
      <c r="G16" s="153"/>
      <c r="H16" s="153"/>
      <c r="I16" s="153"/>
      <c r="J16" s="153"/>
      <c r="K16" s="153"/>
      <c r="L16" s="153"/>
      <c r="M16" s="153"/>
      <c r="N16" s="153"/>
      <c r="O16" s="153"/>
      <c r="Q16" s="153"/>
      <c r="R16" s="153"/>
      <c r="S16" s="153"/>
      <c r="T16" s="153"/>
      <c r="U16" s="153"/>
      <c r="V16" s="153"/>
      <c r="W16" s="153"/>
      <c r="X16" s="153"/>
      <c r="Y16" s="153"/>
      <c r="Z16" s="153"/>
    </row>
    <row r="17" spans="1:30" x14ac:dyDescent="0.2">
      <c r="A17" s="152"/>
      <c r="B17" s="153"/>
      <c r="C17" s="153"/>
      <c r="D17" s="153"/>
      <c r="E17" s="153"/>
      <c r="F17" s="153"/>
      <c r="G17" s="153"/>
      <c r="H17" s="153"/>
      <c r="I17" s="153"/>
      <c r="J17" s="153"/>
      <c r="K17" s="153"/>
      <c r="L17" s="153"/>
      <c r="M17" s="153"/>
      <c r="N17" s="153"/>
      <c r="O17" s="153"/>
      <c r="Q17" s="153"/>
      <c r="R17" s="153"/>
      <c r="S17" s="153"/>
      <c r="T17" s="153"/>
      <c r="U17" s="153"/>
      <c r="V17" s="153"/>
      <c r="W17" s="153"/>
      <c r="X17" s="153"/>
      <c r="Y17" s="153"/>
      <c r="Z17" s="153"/>
    </row>
    <row r="18" spans="1:30" x14ac:dyDescent="0.2">
      <c r="A18" s="152"/>
      <c r="B18" s="153"/>
      <c r="C18" s="153"/>
      <c r="D18" s="153"/>
      <c r="E18" s="153"/>
      <c r="F18" s="153"/>
      <c r="G18" s="153"/>
      <c r="H18" s="153"/>
      <c r="I18" s="153"/>
      <c r="J18" s="153"/>
      <c r="K18" s="153"/>
      <c r="L18" s="153"/>
      <c r="M18" s="153"/>
      <c r="N18" s="153"/>
      <c r="O18" s="153"/>
      <c r="Q18" s="153"/>
      <c r="R18" s="153"/>
      <c r="S18" s="153"/>
      <c r="T18" s="153"/>
      <c r="U18" s="153"/>
      <c r="V18" s="153"/>
      <c r="W18" s="153"/>
      <c r="X18" s="153"/>
      <c r="Y18" s="153"/>
      <c r="Z18" s="153"/>
    </row>
    <row r="19" spans="1:30" x14ac:dyDescent="0.2">
      <c r="A19" s="152"/>
      <c r="B19" s="153"/>
      <c r="C19" s="153"/>
      <c r="D19" s="153"/>
      <c r="E19" s="153"/>
      <c r="F19" s="153"/>
      <c r="G19" s="153"/>
      <c r="H19" s="153"/>
      <c r="I19" s="153"/>
      <c r="J19" s="153"/>
      <c r="K19" s="153"/>
      <c r="L19" s="153"/>
      <c r="M19" s="153"/>
      <c r="N19" s="153"/>
      <c r="O19" s="153"/>
      <c r="Q19" s="153"/>
      <c r="R19" s="153"/>
      <c r="S19" s="153"/>
      <c r="T19" s="153"/>
      <c r="U19" s="153"/>
      <c r="V19" s="153"/>
      <c r="W19" s="153"/>
      <c r="X19" s="153"/>
      <c r="Y19" s="153"/>
      <c r="Z19" s="153"/>
    </row>
    <row r="20" spans="1:30" ht="18" customHeight="1" x14ac:dyDescent="0.2">
      <c r="A20" s="152"/>
      <c r="B20" s="152"/>
      <c r="C20" s="153"/>
      <c r="D20" s="153"/>
      <c r="E20" s="153"/>
      <c r="F20" s="153"/>
      <c r="G20" s="153"/>
      <c r="H20" s="153"/>
      <c r="I20" s="153"/>
      <c r="J20" s="153"/>
      <c r="K20" s="153"/>
      <c r="L20" s="153"/>
      <c r="M20" s="153"/>
      <c r="N20" s="153"/>
      <c r="O20" s="153"/>
      <c r="Q20" s="153"/>
      <c r="R20" s="153"/>
      <c r="S20" s="153"/>
      <c r="T20" s="153"/>
      <c r="U20" s="153"/>
      <c r="V20" s="153"/>
      <c r="W20" s="153"/>
      <c r="X20" s="153"/>
      <c r="Y20" s="153"/>
      <c r="Z20" s="153"/>
    </row>
    <row r="21" spans="1:30" ht="0.2" customHeight="1" x14ac:dyDescent="0.25">
      <c r="A21" s="174">
        <f>B1</f>
        <v>0</v>
      </c>
      <c r="B21" s="182"/>
      <c r="C21" s="74">
        <f ca="1">B2</f>
        <v>46133</v>
      </c>
      <c r="D21" s="174">
        <f>B3</f>
        <v>0</v>
      </c>
      <c r="E21" s="171" t="str">
        <f>C3</f>
        <v/>
      </c>
      <c r="F21" s="172">
        <f>B4</f>
        <v>0</v>
      </c>
      <c r="G21" s="172">
        <f>C4</f>
        <v>0</v>
      </c>
      <c r="H21" s="172">
        <f t="shared" ref="H21:O21" si="0">D4</f>
        <v>0</v>
      </c>
      <c r="I21" s="172">
        <f t="shared" si="0"/>
        <v>0</v>
      </c>
      <c r="J21" s="172">
        <f t="shared" si="0"/>
        <v>0</v>
      </c>
      <c r="K21" s="172">
        <f t="shared" si="0"/>
        <v>0</v>
      </c>
      <c r="L21" s="172">
        <f t="shared" si="0"/>
        <v>0</v>
      </c>
      <c r="M21" s="172">
        <f t="shared" si="0"/>
        <v>0</v>
      </c>
      <c r="N21" s="172">
        <f t="shared" si="0"/>
        <v>0</v>
      </c>
      <c r="O21" s="172">
        <f t="shared" si="0"/>
        <v>0</v>
      </c>
      <c r="P21" s="200">
        <f>B5</f>
        <v>0</v>
      </c>
      <c r="Q21" s="173">
        <f t="shared" ref="Q21:Y21" si="1">C5</f>
        <v>0</v>
      </c>
      <c r="R21" s="173">
        <f t="shared" si="1"/>
        <v>0</v>
      </c>
      <c r="S21" s="173">
        <f t="shared" si="1"/>
        <v>0</v>
      </c>
      <c r="T21" s="173">
        <f t="shared" si="1"/>
        <v>0</v>
      </c>
      <c r="U21" s="173">
        <f t="shared" si="1"/>
        <v>0</v>
      </c>
      <c r="V21" s="173">
        <f t="shared" si="1"/>
        <v>0</v>
      </c>
      <c r="W21" s="173">
        <f t="shared" si="1"/>
        <v>0</v>
      </c>
      <c r="X21" s="173">
        <f t="shared" si="1"/>
        <v>0</v>
      </c>
      <c r="Y21" s="173">
        <f t="shared" si="1"/>
        <v>0</v>
      </c>
      <c r="Z21" s="184">
        <f>B6</f>
        <v>0</v>
      </c>
      <c r="AA21" s="77">
        <f>B7</f>
        <v>0</v>
      </c>
      <c r="AB21" s="74">
        <f>B8</f>
        <v>0</v>
      </c>
      <c r="AC21" s="167">
        <f>B9</f>
        <v>0</v>
      </c>
      <c r="AD21" s="164"/>
    </row>
    <row r="22" spans="1:30" x14ac:dyDescent="0.2">
      <c r="A22" s="152"/>
      <c r="B22" s="153"/>
      <c r="C22" s="153"/>
      <c r="D22" s="153"/>
      <c r="E22" s="153"/>
      <c r="F22" s="153"/>
      <c r="G22" s="153"/>
      <c r="H22" s="153"/>
      <c r="I22" s="153"/>
      <c r="J22" s="153"/>
      <c r="K22" s="153"/>
      <c r="L22" s="153"/>
      <c r="M22" s="153"/>
      <c r="N22" s="153"/>
      <c r="O22" s="153"/>
      <c r="Q22" s="153"/>
      <c r="R22" s="153"/>
      <c r="S22" s="153"/>
      <c r="T22" s="153"/>
      <c r="U22" s="153"/>
      <c r="V22" s="153"/>
      <c r="W22" s="153"/>
      <c r="X22" s="153"/>
      <c r="Y22" s="153"/>
      <c r="Z22" s="153"/>
    </row>
    <row r="23" spans="1:30" x14ac:dyDescent="0.2">
      <c r="A23" s="152"/>
      <c r="B23" s="153"/>
      <c r="C23" s="153"/>
      <c r="D23" s="153"/>
      <c r="E23" s="153"/>
      <c r="F23" s="153"/>
      <c r="G23" s="153"/>
      <c r="H23" s="153"/>
      <c r="I23" s="153"/>
      <c r="J23" s="153"/>
      <c r="K23" s="153"/>
      <c r="L23" s="153"/>
      <c r="M23" s="153"/>
      <c r="N23" s="153"/>
      <c r="O23" s="153"/>
      <c r="Q23" s="153"/>
      <c r="R23" s="153"/>
      <c r="S23" s="153"/>
      <c r="T23" s="153"/>
      <c r="U23" s="153"/>
      <c r="V23" s="153"/>
      <c r="W23" s="153"/>
      <c r="X23" s="153"/>
      <c r="Y23" s="153"/>
      <c r="Z23" s="153"/>
    </row>
    <row r="24" spans="1:30" x14ac:dyDescent="0.2">
      <c r="A24" s="152"/>
      <c r="B24" s="153"/>
      <c r="C24" s="153"/>
      <c r="D24" s="153"/>
      <c r="E24" s="153"/>
      <c r="F24" s="153"/>
      <c r="G24" s="153"/>
      <c r="H24" s="153"/>
      <c r="I24" s="153"/>
      <c r="J24" s="153"/>
      <c r="K24" s="153"/>
      <c r="L24" s="153"/>
      <c r="M24" s="153"/>
      <c r="N24" s="153"/>
      <c r="O24" s="153"/>
      <c r="Q24" s="153"/>
      <c r="R24" s="153"/>
      <c r="S24" s="153"/>
      <c r="T24" s="153"/>
      <c r="U24" s="153"/>
      <c r="V24" s="153"/>
      <c r="W24" s="153"/>
      <c r="X24" s="153"/>
      <c r="Y24" s="153"/>
      <c r="Z24" s="153"/>
    </row>
    <row r="25" spans="1:30" x14ac:dyDescent="0.2">
      <c r="A25" s="152"/>
      <c r="B25" s="153"/>
      <c r="C25" s="153"/>
      <c r="D25" s="153"/>
      <c r="E25" s="153"/>
      <c r="F25" s="153"/>
      <c r="G25" s="153"/>
      <c r="H25" s="153"/>
      <c r="I25" s="153"/>
      <c r="J25" s="153"/>
      <c r="K25" s="153"/>
      <c r="L25" s="153"/>
      <c r="M25" s="153"/>
      <c r="N25" s="153"/>
      <c r="O25" s="153"/>
      <c r="Q25" s="153"/>
      <c r="R25" s="153"/>
      <c r="S25" s="153"/>
      <c r="T25" s="153"/>
      <c r="U25" s="153"/>
      <c r="V25" s="153"/>
      <c r="W25" s="153"/>
      <c r="X25" s="153"/>
      <c r="Y25" s="153"/>
      <c r="Z25" s="153"/>
    </row>
    <row r="26" spans="1:30" x14ac:dyDescent="0.2">
      <c r="A26" s="152"/>
      <c r="B26" s="153"/>
      <c r="C26" s="153"/>
      <c r="D26" s="153"/>
      <c r="E26" s="153"/>
      <c r="F26" s="153"/>
      <c r="G26" s="153"/>
      <c r="H26" s="153"/>
      <c r="I26" s="153"/>
      <c r="J26" s="153"/>
      <c r="K26" s="153"/>
      <c r="L26" s="153"/>
      <c r="M26" s="153"/>
      <c r="N26" s="153"/>
      <c r="O26" s="153"/>
      <c r="Q26" s="153"/>
      <c r="R26" s="153"/>
      <c r="S26" s="153"/>
      <c r="T26" s="153"/>
      <c r="U26" s="153"/>
      <c r="V26" s="153"/>
      <c r="W26" s="153"/>
      <c r="X26" s="153"/>
      <c r="Y26" s="153"/>
      <c r="Z26" s="153"/>
    </row>
    <row r="27" spans="1:30" x14ac:dyDescent="0.2">
      <c r="A27" s="152"/>
      <c r="B27" s="153"/>
      <c r="C27" s="153"/>
      <c r="D27" s="153"/>
      <c r="E27" s="153"/>
      <c r="F27" s="153"/>
      <c r="G27" s="153"/>
      <c r="H27" s="153"/>
      <c r="I27" s="153"/>
      <c r="J27" s="153"/>
      <c r="K27" s="153"/>
      <c r="L27" s="153"/>
      <c r="M27" s="153"/>
      <c r="N27" s="153"/>
      <c r="O27" s="153"/>
      <c r="Q27" s="153"/>
      <c r="R27" s="153"/>
      <c r="S27" s="153"/>
      <c r="T27" s="153"/>
      <c r="U27" s="153"/>
      <c r="V27" s="153"/>
      <c r="W27" s="153"/>
      <c r="X27" s="153"/>
      <c r="Y27" s="153"/>
      <c r="Z27" s="153"/>
    </row>
    <row r="28" spans="1:30" x14ac:dyDescent="0.2">
      <c r="A28" s="152"/>
      <c r="B28" s="153"/>
      <c r="C28" s="153"/>
      <c r="D28" s="153"/>
      <c r="E28" s="153"/>
      <c r="F28" s="153"/>
      <c r="G28" s="153"/>
      <c r="H28" s="153"/>
      <c r="I28" s="153"/>
      <c r="J28" s="153"/>
      <c r="K28" s="153"/>
      <c r="L28" s="153"/>
      <c r="M28" s="153"/>
      <c r="N28" s="153"/>
      <c r="O28" s="153"/>
      <c r="Q28" s="153"/>
      <c r="R28" s="153"/>
      <c r="S28" s="153"/>
      <c r="T28" s="153"/>
      <c r="U28" s="153"/>
      <c r="V28" s="153"/>
      <c r="W28" s="153"/>
      <c r="X28" s="153"/>
      <c r="Y28" s="153"/>
      <c r="Z28" s="153"/>
    </row>
    <row r="29" spans="1:30" x14ac:dyDescent="0.2">
      <c r="A29" s="152"/>
      <c r="B29" s="153"/>
      <c r="C29" s="153"/>
      <c r="D29" s="153"/>
      <c r="E29" s="153"/>
      <c r="F29" s="153"/>
      <c r="G29" s="153"/>
      <c r="H29" s="153"/>
      <c r="I29" s="153"/>
      <c r="J29" s="153"/>
      <c r="K29" s="153"/>
      <c r="L29" s="153"/>
      <c r="M29" s="153"/>
      <c r="N29" s="153"/>
      <c r="O29" s="153"/>
      <c r="Q29" s="153"/>
      <c r="R29" s="153"/>
      <c r="S29" s="153"/>
      <c r="T29" s="153"/>
      <c r="U29" s="153"/>
      <c r="V29" s="153"/>
      <c r="W29" s="153"/>
      <c r="X29" s="153"/>
      <c r="Y29" s="153"/>
      <c r="Z29" s="153"/>
    </row>
    <row r="30" spans="1:30" x14ac:dyDescent="0.2">
      <c r="A30" s="152"/>
      <c r="B30" s="153"/>
      <c r="C30" s="153"/>
      <c r="D30" s="153"/>
      <c r="E30" s="153"/>
      <c r="F30" s="153"/>
      <c r="G30" s="153"/>
      <c r="H30" s="153"/>
      <c r="I30" s="153"/>
      <c r="J30" s="153"/>
      <c r="K30" s="153"/>
      <c r="L30" s="153"/>
      <c r="M30" s="153"/>
      <c r="N30" s="153"/>
      <c r="O30" s="153"/>
      <c r="Q30" s="153"/>
      <c r="R30" s="153"/>
      <c r="S30" s="153"/>
      <c r="T30" s="153"/>
      <c r="U30" s="153"/>
      <c r="V30" s="153"/>
      <c r="W30" s="153"/>
      <c r="X30" s="153"/>
      <c r="Y30" s="153"/>
      <c r="Z30" s="153"/>
    </row>
    <row r="31" spans="1:30" x14ac:dyDescent="0.2">
      <c r="A31" s="152"/>
      <c r="B31" s="153"/>
      <c r="C31" s="153"/>
      <c r="D31" s="153"/>
      <c r="E31" s="153"/>
      <c r="F31" s="153"/>
      <c r="G31" s="153"/>
      <c r="H31" s="153"/>
      <c r="I31" s="153"/>
      <c r="J31" s="153"/>
      <c r="K31" s="153"/>
      <c r="L31" s="153"/>
      <c r="M31" s="153"/>
      <c r="N31" s="153"/>
      <c r="O31" s="153"/>
      <c r="Q31" s="153"/>
      <c r="R31" s="153"/>
      <c r="S31" s="153"/>
      <c r="T31" s="153"/>
      <c r="U31" s="153"/>
      <c r="V31" s="153"/>
      <c r="W31" s="153"/>
      <c r="X31" s="153"/>
      <c r="Y31" s="153"/>
      <c r="Z31" s="153"/>
    </row>
    <row r="32" spans="1:30" x14ac:dyDescent="0.2">
      <c r="A32" s="152"/>
      <c r="B32" s="153"/>
      <c r="C32" s="153"/>
      <c r="D32" s="153"/>
      <c r="E32" s="153"/>
      <c r="F32" s="153"/>
      <c r="G32" s="153"/>
      <c r="H32" s="153"/>
      <c r="I32" s="153"/>
      <c r="J32" s="153"/>
      <c r="K32" s="153"/>
      <c r="L32" s="153"/>
      <c r="M32" s="153"/>
      <c r="N32" s="153"/>
      <c r="O32" s="153"/>
      <c r="Q32" s="153"/>
      <c r="R32" s="153"/>
      <c r="S32" s="153"/>
      <c r="T32" s="153"/>
      <c r="U32" s="153"/>
      <c r="V32" s="153"/>
      <c r="W32" s="153"/>
      <c r="X32" s="153"/>
      <c r="Y32" s="153"/>
      <c r="Z32" s="153"/>
    </row>
    <row r="33" spans="1:26" x14ac:dyDescent="0.2">
      <c r="A33" s="152"/>
      <c r="B33" s="153"/>
      <c r="C33" s="153"/>
      <c r="D33" s="153"/>
      <c r="E33" s="153"/>
      <c r="F33" s="153"/>
      <c r="G33" s="153"/>
      <c r="H33" s="153"/>
      <c r="I33" s="153"/>
      <c r="J33" s="153"/>
      <c r="K33" s="153"/>
      <c r="L33" s="153"/>
      <c r="M33" s="153"/>
      <c r="N33" s="153"/>
      <c r="O33" s="153"/>
      <c r="Q33" s="153"/>
      <c r="R33" s="153"/>
      <c r="S33" s="153"/>
      <c r="T33" s="153"/>
      <c r="U33" s="153"/>
      <c r="V33" s="153"/>
      <c r="W33" s="153"/>
      <c r="X33" s="153"/>
      <c r="Y33" s="153"/>
      <c r="Z33" s="153"/>
    </row>
    <row r="34" spans="1:26" x14ac:dyDescent="0.2">
      <c r="A34" s="152"/>
      <c r="B34" s="153"/>
      <c r="C34" s="153"/>
      <c r="D34" s="153"/>
      <c r="E34" s="153"/>
      <c r="F34" s="153"/>
      <c r="G34" s="153"/>
      <c r="H34" s="153"/>
      <c r="I34" s="153"/>
      <c r="J34" s="153"/>
      <c r="K34" s="153"/>
      <c r="L34" s="153"/>
      <c r="M34" s="153"/>
      <c r="N34" s="153"/>
      <c r="O34" s="153"/>
      <c r="Q34" s="153"/>
      <c r="R34" s="153"/>
      <c r="S34" s="153"/>
      <c r="T34" s="153"/>
      <c r="U34" s="153"/>
      <c r="V34" s="153"/>
      <c r="W34" s="153"/>
      <c r="X34" s="153"/>
      <c r="Y34" s="153"/>
      <c r="Z34" s="153"/>
    </row>
    <row r="35" spans="1:26" x14ac:dyDescent="0.2">
      <c r="A35" s="152"/>
      <c r="B35" s="153"/>
      <c r="C35" s="153"/>
      <c r="D35" s="153"/>
      <c r="E35" s="153"/>
      <c r="F35" s="153"/>
      <c r="G35" s="153"/>
      <c r="H35" s="153"/>
      <c r="I35" s="153"/>
      <c r="J35" s="153"/>
      <c r="K35" s="153"/>
      <c r="L35" s="153"/>
      <c r="M35" s="153"/>
      <c r="N35" s="153"/>
      <c r="O35" s="153"/>
      <c r="Q35" s="153"/>
      <c r="R35" s="153"/>
      <c r="S35" s="153"/>
      <c r="T35" s="153"/>
      <c r="U35" s="153"/>
      <c r="V35" s="153"/>
      <c r="W35" s="153"/>
      <c r="X35" s="153"/>
      <c r="Y35" s="153"/>
      <c r="Z35" s="153"/>
    </row>
    <row r="36" spans="1:26" x14ac:dyDescent="0.2">
      <c r="A36" s="152"/>
      <c r="B36" s="153"/>
      <c r="C36" s="153"/>
      <c r="D36" s="153"/>
      <c r="E36" s="153"/>
      <c r="F36" s="153"/>
      <c r="G36" s="153"/>
      <c r="H36" s="153"/>
      <c r="I36" s="153"/>
      <c r="J36" s="153"/>
      <c r="K36" s="153"/>
      <c r="L36" s="153"/>
      <c r="M36" s="153"/>
      <c r="N36" s="153"/>
      <c r="O36" s="153"/>
      <c r="Q36" s="153"/>
      <c r="R36" s="153"/>
      <c r="S36" s="153"/>
      <c r="T36" s="153"/>
      <c r="U36" s="153"/>
      <c r="V36" s="153"/>
      <c r="W36" s="153"/>
      <c r="X36" s="153"/>
      <c r="Y36" s="153"/>
      <c r="Z36" s="153"/>
    </row>
    <row r="37" spans="1:26" x14ac:dyDescent="0.2">
      <c r="A37" s="152"/>
      <c r="B37" s="153"/>
      <c r="C37" s="153"/>
      <c r="D37" s="153"/>
      <c r="E37" s="153"/>
      <c r="F37" s="153"/>
      <c r="G37" s="153"/>
      <c r="H37" s="153"/>
      <c r="I37" s="153"/>
      <c r="J37" s="153"/>
      <c r="K37" s="153"/>
      <c r="L37" s="153"/>
      <c r="M37" s="153"/>
      <c r="N37" s="153"/>
      <c r="O37" s="153"/>
      <c r="Q37" s="153"/>
      <c r="R37" s="153"/>
      <c r="S37" s="153"/>
      <c r="T37" s="153"/>
      <c r="U37" s="153"/>
      <c r="V37" s="153"/>
      <c r="W37" s="153"/>
      <c r="X37" s="153"/>
      <c r="Y37" s="153"/>
      <c r="Z37" s="153"/>
    </row>
    <row r="38" spans="1:26" x14ac:dyDescent="0.2">
      <c r="A38" s="152"/>
      <c r="B38" s="153"/>
      <c r="C38" s="153"/>
      <c r="D38" s="153"/>
      <c r="E38" s="153"/>
      <c r="F38" s="153"/>
      <c r="G38" s="153"/>
      <c r="H38" s="153"/>
      <c r="I38" s="153"/>
      <c r="J38" s="153"/>
      <c r="K38" s="153"/>
      <c r="L38" s="153"/>
      <c r="M38" s="153"/>
      <c r="N38" s="153"/>
      <c r="O38" s="153"/>
      <c r="Q38" s="153"/>
      <c r="R38" s="153"/>
      <c r="S38" s="153"/>
      <c r="T38" s="153"/>
      <c r="U38" s="153"/>
      <c r="V38" s="153"/>
      <c r="W38" s="153"/>
      <c r="X38" s="153"/>
      <c r="Y38" s="153"/>
      <c r="Z38" s="153"/>
    </row>
    <row r="39" spans="1:26" x14ac:dyDescent="0.2">
      <c r="A39" s="152"/>
      <c r="B39" s="153"/>
      <c r="C39" s="153"/>
      <c r="D39" s="153"/>
      <c r="E39" s="153"/>
      <c r="F39" s="153"/>
      <c r="G39" s="153"/>
      <c r="H39" s="153"/>
      <c r="I39" s="153"/>
      <c r="J39" s="153"/>
      <c r="K39" s="153"/>
      <c r="L39" s="153"/>
      <c r="M39" s="153"/>
      <c r="N39" s="153"/>
      <c r="O39" s="153"/>
      <c r="Q39" s="153"/>
      <c r="R39" s="153"/>
      <c r="S39" s="153"/>
      <c r="T39" s="153"/>
      <c r="U39" s="153"/>
      <c r="V39" s="153"/>
      <c r="W39" s="153"/>
      <c r="X39" s="153"/>
      <c r="Y39" s="153"/>
      <c r="Z39" s="153"/>
    </row>
    <row r="40" spans="1:26" x14ac:dyDescent="0.2">
      <c r="A40" s="152"/>
      <c r="B40" s="153"/>
      <c r="C40" s="153"/>
      <c r="D40" s="153"/>
      <c r="E40" s="153"/>
      <c r="F40" s="153"/>
      <c r="G40" s="153"/>
      <c r="H40" s="153"/>
      <c r="I40" s="153"/>
      <c r="J40" s="153"/>
      <c r="K40" s="153"/>
      <c r="L40" s="153"/>
      <c r="M40" s="153"/>
      <c r="N40" s="153"/>
      <c r="O40" s="153"/>
      <c r="Q40" s="153"/>
      <c r="R40" s="153"/>
      <c r="S40" s="153"/>
      <c r="T40" s="153"/>
      <c r="U40" s="153"/>
      <c r="V40" s="153"/>
      <c r="W40" s="153"/>
      <c r="X40" s="153"/>
      <c r="Y40" s="153"/>
      <c r="Z40" s="153"/>
    </row>
    <row r="41" spans="1:26" x14ac:dyDescent="0.2">
      <c r="A41" s="152"/>
      <c r="B41" s="153"/>
      <c r="C41" s="153"/>
      <c r="D41" s="153"/>
      <c r="E41" s="153"/>
      <c r="F41" s="153"/>
      <c r="G41" s="153"/>
      <c r="H41" s="153"/>
      <c r="I41" s="153"/>
      <c r="J41" s="153"/>
      <c r="K41" s="153"/>
      <c r="L41" s="153"/>
      <c r="M41" s="153"/>
      <c r="N41" s="153"/>
      <c r="O41" s="153"/>
      <c r="Q41" s="153"/>
      <c r="R41" s="153"/>
      <c r="S41" s="153"/>
      <c r="T41" s="153"/>
      <c r="U41" s="153"/>
      <c r="V41" s="153"/>
      <c r="W41" s="153"/>
      <c r="X41" s="153"/>
      <c r="Y41" s="153"/>
      <c r="Z41" s="153"/>
    </row>
    <row r="42" spans="1:26" x14ac:dyDescent="0.2">
      <c r="A42" s="152"/>
      <c r="B42" s="153"/>
      <c r="C42" s="153"/>
      <c r="D42" s="153"/>
      <c r="E42" s="153"/>
      <c r="F42" s="153"/>
      <c r="G42" s="153"/>
      <c r="H42" s="153"/>
      <c r="I42" s="153"/>
      <c r="J42" s="153"/>
      <c r="K42" s="153"/>
      <c r="L42" s="153"/>
      <c r="M42" s="153"/>
      <c r="N42" s="153"/>
      <c r="O42" s="153"/>
      <c r="Q42" s="153"/>
      <c r="R42" s="153"/>
      <c r="S42" s="153"/>
      <c r="T42" s="153"/>
      <c r="U42" s="153"/>
      <c r="V42" s="153"/>
      <c r="W42" s="153"/>
      <c r="X42" s="153"/>
      <c r="Y42" s="153"/>
      <c r="Z42" s="153"/>
    </row>
    <row r="43" spans="1:26" x14ac:dyDescent="0.2">
      <c r="A43" s="152"/>
      <c r="B43" s="153"/>
      <c r="C43" s="153"/>
      <c r="D43" s="153"/>
      <c r="E43" s="153"/>
      <c r="F43" s="153"/>
      <c r="G43" s="153"/>
      <c r="H43" s="153"/>
      <c r="I43" s="153"/>
      <c r="J43" s="153"/>
      <c r="K43" s="153"/>
      <c r="L43" s="153"/>
      <c r="M43" s="153"/>
      <c r="N43" s="153"/>
      <c r="O43" s="153"/>
      <c r="Q43" s="153"/>
      <c r="R43" s="153"/>
      <c r="S43" s="153"/>
      <c r="T43" s="153"/>
      <c r="U43" s="153"/>
      <c r="V43" s="153"/>
      <c r="W43" s="153"/>
      <c r="X43" s="153"/>
      <c r="Y43" s="153"/>
      <c r="Z43" s="153"/>
    </row>
    <row r="44" spans="1:26" x14ac:dyDescent="0.2">
      <c r="A44" s="152"/>
      <c r="B44" s="153"/>
      <c r="C44" s="153"/>
      <c r="D44" s="153"/>
      <c r="E44" s="153"/>
      <c r="F44" s="153"/>
      <c r="G44" s="153"/>
      <c r="H44" s="153"/>
      <c r="I44" s="153"/>
      <c r="J44" s="153"/>
      <c r="K44" s="153"/>
      <c r="L44" s="153"/>
      <c r="M44" s="153"/>
      <c r="N44" s="153"/>
      <c r="O44" s="153"/>
      <c r="Q44" s="153"/>
      <c r="R44" s="153"/>
      <c r="S44" s="153"/>
      <c r="T44" s="153"/>
      <c r="U44" s="153"/>
      <c r="V44" s="153"/>
      <c r="W44" s="153"/>
      <c r="X44" s="153"/>
      <c r="Y44" s="153"/>
      <c r="Z44" s="153"/>
    </row>
    <row r="45" spans="1:26" x14ac:dyDescent="0.2">
      <c r="A45" s="152"/>
      <c r="B45" s="153"/>
      <c r="C45" s="153"/>
      <c r="D45" s="153"/>
      <c r="E45" s="153"/>
      <c r="F45" s="153"/>
      <c r="G45" s="153"/>
      <c r="H45" s="153"/>
      <c r="I45" s="153"/>
      <c r="J45" s="153"/>
      <c r="K45" s="153"/>
      <c r="L45" s="153"/>
      <c r="M45" s="153"/>
      <c r="N45" s="153"/>
      <c r="O45" s="153"/>
      <c r="Q45" s="153"/>
      <c r="R45" s="153"/>
      <c r="S45" s="153"/>
      <c r="T45" s="153"/>
      <c r="U45" s="153"/>
      <c r="V45" s="153"/>
      <c r="W45" s="153"/>
      <c r="X45" s="153"/>
      <c r="Y45" s="153"/>
      <c r="Z45" s="153"/>
    </row>
    <row r="46" spans="1:26" x14ac:dyDescent="0.2">
      <c r="A46" s="152"/>
      <c r="B46" s="153"/>
      <c r="C46" s="153"/>
      <c r="D46" s="153"/>
      <c r="E46" s="153"/>
      <c r="F46" s="153"/>
      <c r="G46" s="153"/>
      <c r="H46" s="153"/>
      <c r="I46" s="153"/>
      <c r="J46" s="153"/>
      <c r="K46" s="153"/>
      <c r="L46" s="153"/>
      <c r="M46" s="153"/>
      <c r="N46" s="153"/>
      <c r="O46" s="153"/>
      <c r="Q46" s="153"/>
      <c r="R46" s="153"/>
      <c r="S46" s="153"/>
      <c r="T46" s="153"/>
      <c r="U46" s="153"/>
      <c r="V46" s="153"/>
      <c r="W46" s="153"/>
      <c r="X46" s="153"/>
      <c r="Y46" s="153"/>
      <c r="Z46" s="153"/>
    </row>
    <row r="47" spans="1:26" x14ac:dyDescent="0.2">
      <c r="A47" s="152"/>
      <c r="B47" s="153"/>
      <c r="C47" s="153"/>
      <c r="D47" s="153"/>
      <c r="E47" s="153"/>
      <c r="F47" s="153"/>
      <c r="G47" s="153"/>
      <c r="H47" s="153"/>
      <c r="I47" s="153"/>
      <c r="J47" s="153"/>
      <c r="K47" s="153"/>
      <c r="L47" s="153"/>
      <c r="M47" s="153"/>
      <c r="N47" s="153"/>
      <c r="O47" s="153"/>
      <c r="Q47" s="153"/>
      <c r="R47" s="153"/>
      <c r="S47" s="153"/>
      <c r="T47" s="153"/>
      <c r="U47" s="153"/>
      <c r="V47" s="153"/>
      <c r="W47" s="153"/>
      <c r="X47" s="153"/>
      <c r="Y47" s="153"/>
      <c r="Z47" s="153"/>
    </row>
    <row r="48" spans="1:26" x14ac:dyDescent="0.2">
      <c r="A48" s="152"/>
      <c r="B48" s="153"/>
      <c r="C48" s="153"/>
      <c r="D48" s="153"/>
      <c r="E48" s="153"/>
      <c r="F48" s="153"/>
      <c r="G48" s="153"/>
      <c r="H48" s="153"/>
      <c r="I48" s="153"/>
      <c r="J48" s="153"/>
      <c r="K48" s="153"/>
      <c r="L48" s="153"/>
      <c r="M48" s="153"/>
      <c r="N48" s="153"/>
      <c r="O48" s="153"/>
      <c r="Q48" s="153"/>
      <c r="R48" s="153"/>
      <c r="S48" s="153"/>
      <c r="T48" s="153"/>
      <c r="U48" s="153"/>
      <c r="V48" s="153"/>
      <c r="W48" s="153"/>
      <c r="X48" s="153"/>
      <c r="Y48" s="153"/>
      <c r="Z48" s="153"/>
    </row>
    <row r="49" spans="1:26" x14ac:dyDescent="0.2">
      <c r="A49" s="152"/>
      <c r="B49" s="153"/>
      <c r="C49" s="153"/>
      <c r="D49" s="153"/>
      <c r="E49" s="153"/>
      <c r="F49" s="153"/>
      <c r="G49" s="153"/>
      <c r="H49" s="153"/>
      <c r="I49" s="153"/>
      <c r="J49" s="153"/>
      <c r="K49" s="153"/>
      <c r="L49" s="153"/>
      <c r="M49" s="153"/>
      <c r="N49" s="153"/>
      <c r="O49" s="153"/>
      <c r="Q49" s="153"/>
      <c r="R49" s="153"/>
      <c r="S49" s="153"/>
      <c r="T49" s="153"/>
      <c r="U49" s="153"/>
      <c r="V49" s="153"/>
      <c r="W49" s="153"/>
      <c r="X49" s="153"/>
      <c r="Y49" s="153"/>
      <c r="Z49" s="153"/>
    </row>
    <row r="50" spans="1:26" x14ac:dyDescent="0.2">
      <c r="A50" s="152"/>
      <c r="B50" s="153"/>
      <c r="C50" s="153"/>
      <c r="D50" s="153"/>
      <c r="E50" s="153"/>
      <c r="F50" s="153"/>
      <c r="G50" s="153"/>
      <c r="H50" s="153"/>
      <c r="I50" s="153"/>
      <c r="J50" s="153"/>
      <c r="K50" s="153"/>
      <c r="L50" s="153"/>
      <c r="M50" s="153"/>
      <c r="N50" s="153"/>
      <c r="O50" s="153"/>
      <c r="Q50" s="153"/>
      <c r="R50" s="153"/>
      <c r="S50" s="153"/>
      <c r="T50" s="153"/>
      <c r="U50" s="153"/>
      <c r="V50" s="153"/>
      <c r="W50" s="153"/>
      <c r="X50" s="153"/>
      <c r="Y50" s="153"/>
      <c r="Z50" s="153"/>
    </row>
  </sheetData>
  <sheetProtection sheet="1" objects="1" scenarios="1"/>
  <mergeCells count="6">
    <mergeCell ref="I13:N13"/>
    <mergeCell ref="B7:F7"/>
    <mergeCell ref="B9:G9"/>
    <mergeCell ref="B11:G11"/>
    <mergeCell ref="I9:N9"/>
    <mergeCell ref="I11:N11"/>
  </mergeCells>
  <conditionalFormatting sqref="C2">
    <cfRule type="cellIs" dxfId="9" priority="2" operator="notEqual">
      <formula>""</formula>
    </cfRule>
  </conditionalFormatting>
  <conditionalFormatting sqref="C3:L3">
    <cfRule type="expression" dxfId="8" priority="1">
      <formula>$P$1&lt;&gt;"não"</formula>
    </cfRule>
  </conditionalFormatting>
  <dataValidations count="4">
    <dataValidation type="list" showInputMessage="1" showErrorMessage="1" errorTitle="REFERÊNCIA NÃO CADASTRADA!" error="Clique em Cancelar e depois clique sobre a célula para buscar uma Referência já cadastrada ou cadastre." sqref="B3" xr:uid="{00000000-0002-0000-0800-000000000000}">
      <formula1>Referência</formula1>
    </dataValidation>
    <dataValidation type="list" errorStyle="warning" showInputMessage="1" showErrorMessage="1" errorTitle="COR NÃO CADASTRADA!" error="Esta Cor não está cadastrada em &quot; Cores &quot; deseja continuar? Senão clique na célula para buscar uma Cor já cadastrada ou clique no &quot; Botão Cores&quot; e cadastre." sqref="B4:K4" xr:uid="{00000000-0002-0000-0800-000001000000}">
      <formula1>cores</formula1>
    </dataValidation>
    <dataValidation type="list" showInputMessage="1" showErrorMessage="1" errorTitle="TAMANHO NÃO CADASTRADO!" error="Você só poderá informar Tamanhos já cadastrados, clique na célula para buscar um Tamanho ou se realmente deseja informar este tamanho, clique no &quot;Botão Tamanhos&quot; e cadastre." sqref="B5:K5" xr:uid="{00000000-0002-0000-0800-000002000000}">
      <formula1>tamanhos</formula1>
    </dataValidation>
    <dataValidation type="list" errorStyle="warning" showInputMessage="1" showErrorMessage="1" errorTitle="CLIENTE NÃO CADASTRADO!" error="Você deseja continuar sem cadastrar o Cliente?" sqref="B7:F7" xr:uid="{00000000-0002-0000-0800-000003000000}">
      <formula1>Cliente</formula1>
    </dataValidation>
  </dataValidations>
  <printOptions horizontalCentered="1"/>
  <pageMargins left="0" right="0" top="0.39370078740157483" bottom="0" header="0" footer="0"/>
  <pageSetup paperSize="9" orientation="portrait" blackAndWhite="1" verticalDpi="4294967293"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lan20">
    <pageSetUpPr fitToPage="1"/>
  </sheetPr>
  <dimension ref="A1:Z50"/>
  <sheetViews>
    <sheetView showZeros="0" zoomScaleNormal="100" workbookViewId="0">
      <pane xSplit="14" ySplit="20" topLeftCell="O21" activePane="bottomRight" state="frozen"/>
      <selection pane="topRight" activeCell="O1" sqref="O1"/>
      <selection pane="bottomLeft" activeCell="A21" sqref="A21"/>
      <selection pane="bottomRight" activeCell="M1" sqref="M1"/>
    </sheetView>
  </sheetViews>
  <sheetFormatPr defaultRowHeight="12.75" x14ac:dyDescent="0.2"/>
  <cols>
    <col min="1" max="1" width="17.5703125" style="125" customWidth="1"/>
    <col min="2" max="13" width="11.7109375" style="121" customWidth="1"/>
    <col min="14" max="14" width="6.140625" style="123" hidden="1" customWidth="1"/>
    <col min="15" max="16384" width="9.140625" style="121"/>
  </cols>
  <sheetData>
    <row r="1" spans="1:26" ht="21" customHeight="1" x14ac:dyDescent="0.25">
      <c r="A1" s="85" t="s">
        <v>42</v>
      </c>
      <c r="B1" s="245">
        <f ca="1">IF($N$1=0,"",OFFSET('BD da OP'!A1,$N$1,0))</f>
        <v>0</v>
      </c>
      <c r="C1" s="179"/>
      <c r="D1" s="179"/>
      <c r="E1" s="179"/>
      <c r="F1" s="179"/>
      <c r="G1" s="179"/>
      <c r="H1" s="179"/>
      <c r="I1" s="179"/>
      <c r="J1" s="179"/>
      <c r="K1" s="179"/>
      <c r="L1" s="179"/>
      <c r="M1" s="179"/>
      <c r="N1" s="185">
        <v>1</v>
      </c>
      <c r="O1" s="179"/>
      <c r="P1" s="179"/>
      <c r="Q1" s="179"/>
      <c r="R1" s="179"/>
      <c r="S1" s="179"/>
      <c r="T1" s="179"/>
      <c r="U1" s="179"/>
      <c r="V1" s="179"/>
      <c r="W1" s="179"/>
      <c r="X1" s="179"/>
      <c r="Y1" s="179"/>
      <c r="Z1" s="179"/>
    </row>
    <row r="2" spans="1:26" ht="21" customHeight="1" x14ac:dyDescent="0.25">
      <c r="A2" s="85" t="s">
        <v>67</v>
      </c>
      <c r="B2" s="190">
        <f ca="1">IF($N$1=0,"",OFFSET('BD da OP'!C1,$N$1,0))</f>
        <v>43304</v>
      </c>
      <c r="C2" s="180"/>
      <c r="D2" s="179"/>
      <c r="E2" s="179"/>
      <c r="F2" s="179"/>
      <c r="G2" s="179"/>
      <c r="H2" s="179"/>
      <c r="I2" s="179"/>
      <c r="J2" s="179"/>
      <c r="K2" s="179"/>
      <c r="L2" s="179"/>
      <c r="M2" s="179"/>
      <c r="O2" s="179"/>
      <c r="P2" s="179"/>
      <c r="Q2" s="179"/>
      <c r="R2" s="179"/>
      <c r="S2" s="179"/>
      <c r="T2" s="179"/>
      <c r="U2" s="179"/>
      <c r="V2" s="179"/>
      <c r="W2" s="179"/>
      <c r="X2" s="179"/>
      <c r="Y2" s="179"/>
      <c r="Z2" s="179"/>
    </row>
    <row r="3" spans="1:26" ht="21" customHeight="1" x14ac:dyDescent="0.25">
      <c r="A3" s="85" t="s">
        <v>68</v>
      </c>
      <c r="B3" s="189">
        <f ca="1">IF($N$1=0,"",OFFSET('BD da OP'!D1,$N$1,0))</f>
        <v>0</v>
      </c>
      <c r="C3" s="191">
        <f ca="1">IF($N$1=0,"",OFFSET('BD da OP'!E1,$N$1,0))</f>
        <v>0</v>
      </c>
      <c r="D3" s="179"/>
      <c r="E3" s="179"/>
      <c r="F3" s="179"/>
      <c r="G3" s="179"/>
      <c r="H3" s="179"/>
      <c r="I3" s="179"/>
      <c r="J3" s="179"/>
      <c r="K3" s="179"/>
      <c r="L3" s="179"/>
      <c r="M3" s="179"/>
      <c r="O3" s="179"/>
      <c r="P3" s="179"/>
      <c r="Q3" s="179"/>
      <c r="R3" s="179"/>
      <c r="S3" s="179"/>
      <c r="T3" s="179"/>
      <c r="U3" s="179"/>
      <c r="V3" s="179"/>
      <c r="W3" s="179"/>
      <c r="X3" s="179"/>
      <c r="Y3" s="179"/>
      <c r="Z3" s="179"/>
    </row>
    <row r="4" spans="1:26" ht="21" customHeight="1" x14ac:dyDescent="0.25">
      <c r="A4" s="85" t="s">
        <v>69</v>
      </c>
      <c r="B4" s="193">
        <f ca="1">IF($N$1=0,"",OFFSET('BD da OP'!F1,$N$1,0))</f>
        <v>0</v>
      </c>
      <c r="C4" s="193">
        <f ca="1">IF($N$1=0,"",OFFSET('BD da OP'!G1,$N$1,0))</f>
        <v>0</v>
      </c>
      <c r="D4" s="193">
        <f ca="1">IF($N$1=0,"",OFFSET('BD da OP'!H1,$N$1,0))</f>
        <v>0</v>
      </c>
      <c r="E4" s="193">
        <f ca="1">IF($N$1=0,"",OFFSET('BD da OP'!I1,$N$1,0))</f>
        <v>0</v>
      </c>
      <c r="F4" s="193">
        <f ca="1">IF($N$1=0,"",OFFSET('BD da OP'!J1,$N$1,0))</f>
        <v>0</v>
      </c>
      <c r="G4" s="193">
        <f ca="1">IF($N$1=0,"",OFFSET('BD da OP'!K1,$N$1,0))</f>
        <v>0</v>
      </c>
      <c r="H4" s="193">
        <f ca="1">IF($N$1=0,"",OFFSET('BD da OP'!L1,$N$1,0))</f>
        <v>0</v>
      </c>
      <c r="I4" s="193">
        <f ca="1">IF($N$1=0,"",OFFSET('BD da OP'!M1,$N$1,0))</f>
        <v>0</v>
      </c>
      <c r="J4" s="193">
        <f ca="1">IF($N$1=0,"",OFFSET('BD da OP'!N1,$N$1,0))</f>
        <v>0</v>
      </c>
      <c r="K4" s="193">
        <f ca="1">IF($N$1=0,"",OFFSET('BD da OP'!O1,$N$1,0))</f>
        <v>0</v>
      </c>
      <c r="L4" s="179"/>
      <c r="M4" s="179"/>
      <c r="O4" s="179"/>
      <c r="P4" s="179"/>
      <c r="Q4" s="179"/>
      <c r="R4" s="179"/>
      <c r="S4" s="179"/>
      <c r="T4" s="179"/>
      <c r="U4" s="179"/>
      <c r="V4" s="179"/>
      <c r="W4" s="179"/>
      <c r="X4" s="179"/>
      <c r="Y4" s="179"/>
      <c r="Z4" s="179"/>
    </row>
    <row r="5" spans="1:26" ht="21" customHeight="1" x14ac:dyDescent="0.25">
      <c r="A5" s="85" t="s">
        <v>70</v>
      </c>
      <c r="B5" s="193">
        <f ca="1">IF($N$1=0,"",OFFSET('BD da OP'!P1,$N$1,0))</f>
        <v>0</v>
      </c>
      <c r="C5" s="193">
        <f ca="1">IF($N$1=0,"",OFFSET('BD da OP'!Q1,$N$1,0))</f>
        <v>0</v>
      </c>
      <c r="D5" s="193">
        <f ca="1">IF($N$1=0,"",OFFSET('BD da OP'!R1,$N$1,0))</f>
        <v>0</v>
      </c>
      <c r="E5" s="193">
        <f ca="1">IF($N$1=0,"",OFFSET('BD da OP'!S1,$N$1,0))</f>
        <v>0</v>
      </c>
      <c r="F5" s="193">
        <f ca="1">IF($N$1=0,"",OFFSET('BD da OP'!T1,$N$1,0))</f>
        <v>0</v>
      </c>
      <c r="G5" s="193">
        <f ca="1">IF($N$1=0,"",OFFSET('BD da OP'!U1,$N$1,0))</f>
        <v>0</v>
      </c>
      <c r="H5" s="193">
        <f ca="1">IF($N$1=0,"",OFFSET('BD da OP'!V1,$N$1,0))</f>
        <v>0</v>
      </c>
      <c r="I5" s="193">
        <f ca="1">IF($N$1=0,"",OFFSET('BD da OP'!W1,$N$1,0))</f>
        <v>0</v>
      </c>
      <c r="J5" s="193">
        <f ca="1">IF($N$1=0,"",OFFSET('BD da OP'!X1,$N$1,0))</f>
        <v>0</v>
      </c>
      <c r="K5" s="193">
        <f ca="1">IF($N$1=0,"",OFFSET('BD da OP'!Y1,$N$1,0))</f>
        <v>0</v>
      </c>
      <c r="L5" s="179"/>
      <c r="M5" s="179"/>
      <c r="O5" s="179"/>
      <c r="P5" s="179"/>
      <c r="Q5" s="179"/>
      <c r="R5" s="179"/>
      <c r="S5" s="179"/>
      <c r="T5" s="179"/>
      <c r="U5" s="179"/>
      <c r="V5" s="179"/>
      <c r="W5" s="179"/>
      <c r="X5" s="179"/>
      <c r="Y5" s="179"/>
      <c r="Z5" s="179"/>
    </row>
    <row r="6" spans="1:26" ht="21" customHeight="1" x14ac:dyDescent="0.25">
      <c r="A6" s="85" t="s">
        <v>73</v>
      </c>
      <c r="B6" s="192">
        <f ca="1">IF($N$1=0,"",OFFSET('BD da OP'!Z1,$N$1,0))</f>
        <v>0</v>
      </c>
      <c r="C6" s="179"/>
      <c r="D6" s="179"/>
      <c r="E6" s="179"/>
      <c r="F6" s="179"/>
      <c r="G6" s="179"/>
      <c r="H6" s="179"/>
      <c r="I6" s="179"/>
      <c r="J6" s="179"/>
      <c r="K6" s="179"/>
      <c r="L6" s="179"/>
      <c r="M6" s="179"/>
      <c r="O6" s="179"/>
      <c r="P6" s="179"/>
      <c r="Q6" s="179"/>
      <c r="R6" s="179"/>
      <c r="S6" s="179"/>
      <c r="T6" s="179"/>
      <c r="U6" s="179"/>
      <c r="V6" s="179"/>
      <c r="W6" s="179"/>
      <c r="X6" s="179"/>
      <c r="Y6" s="179"/>
      <c r="Z6" s="179"/>
    </row>
    <row r="7" spans="1:26" ht="21" customHeight="1" x14ac:dyDescent="0.25">
      <c r="A7" s="85" t="s">
        <v>71</v>
      </c>
      <c r="B7" s="312">
        <f ca="1">IF($N$1=0,"",OFFSET('BD da OP'!AA1,$N$1,0))</f>
        <v>0</v>
      </c>
      <c r="C7" s="313"/>
      <c r="D7" s="313"/>
      <c r="E7" s="313"/>
      <c r="F7" s="313"/>
      <c r="G7" s="179"/>
      <c r="H7" s="179"/>
      <c r="I7" s="179"/>
      <c r="J7" s="179"/>
      <c r="K7" s="179"/>
      <c r="L7" s="179"/>
      <c r="M7" s="179"/>
      <c r="O7" s="179"/>
      <c r="P7" s="179"/>
      <c r="Q7" s="179"/>
      <c r="R7" s="179"/>
      <c r="S7" s="179"/>
      <c r="T7" s="179"/>
      <c r="U7" s="179"/>
      <c r="V7" s="179"/>
      <c r="W7" s="179"/>
      <c r="X7" s="179"/>
      <c r="Y7" s="179"/>
      <c r="Z7" s="179"/>
    </row>
    <row r="8" spans="1:26" ht="21" customHeight="1" x14ac:dyDescent="0.25">
      <c r="A8" s="85" t="s">
        <v>72</v>
      </c>
      <c r="B8" s="190">
        <f ca="1">IF($N$1=0,"",OFFSET('BD da OP'!AB1,$N$1,0))</f>
        <v>0</v>
      </c>
      <c r="C8" s="179"/>
      <c r="D8" s="179"/>
      <c r="E8" s="179"/>
      <c r="F8" s="179"/>
      <c r="G8" s="179"/>
      <c r="H8" s="179"/>
      <c r="I8" s="179"/>
      <c r="J8" s="179"/>
      <c r="K8" s="179"/>
      <c r="L8" s="179"/>
      <c r="M8" s="179"/>
      <c r="O8" s="179"/>
      <c r="P8" s="179"/>
      <c r="Q8" s="179"/>
      <c r="R8" s="179"/>
      <c r="S8" s="179"/>
      <c r="T8" s="179"/>
      <c r="U8" s="179"/>
      <c r="V8" s="179"/>
      <c r="W8" s="179"/>
      <c r="X8" s="179"/>
      <c r="Y8" s="179"/>
      <c r="Z8" s="179"/>
    </row>
    <row r="9" spans="1:26" ht="41.25" customHeight="1" x14ac:dyDescent="0.2">
      <c r="A9" s="188" t="s">
        <v>94</v>
      </c>
      <c r="B9" s="314">
        <f ca="1">IF($N$1=0,"",IF(ISERROR(VLOOKUP(B1,'BD da OP'!A:AC,29,FALSE)),"",VLOOKUP(B1,'BD da OP'!A:AC,29,FALSE)))</f>
        <v>0</v>
      </c>
      <c r="C9" s="315"/>
      <c r="D9" s="315"/>
      <c r="E9" s="315"/>
      <c r="F9" s="315"/>
      <c r="G9" s="316"/>
      <c r="H9" s="179"/>
      <c r="I9" s="179"/>
      <c r="J9" s="179"/>
      <c r="K9" s="179"/>
      <c r="L9" s="179"/>
      <c r="M9" s="179"/>
      <c r="O9" s="179"/>
      <c r="P9" s="179"/>
      <c r="Q9" s="179"/>
      <c r="R9" s="179"/>
      <c r="S9" s="179"/>
      <c r="T9" s="179"/>
      <c r="U9" s="179"/>
      <c r="V9" s="179"/>
      <c r="W9" s="179"/>
      <c r="X9" s="179"/>
      <c r="Y9" s="179"/>
      <c r="Z9" s="179"/>
    </row>
    <row r="10" spans="1:26" ht="12.75" customHeight="1" x14ac:dyDescent="0.2">
      <c r="A10" s="181"/>
      <c r="B10" s="179"/>
      <c r="C10" s="179"/>
      <c r="D10" s="179"/>
      <c r="E10" s="179"/>
      <c r="F10" s="179"/>
      <c r="G10" s="179"/>
      <c r="H10" s="179"/>
      <c r="I10" s="179"/>
      <c r="J10" s="179"/>
      <c r="K10" s="179"/>
      <c r="L10" s="179"/>
      <c r="M10" s="179"/>
      <c r="O10" s="179"/>
      <c r="P10" s="179"/>
      <c r="Q10" s="179"/>
      <c r="R10" s="179"/>
      <c r="S10" s="179"/>
      <c r="T10" s="179"/>
      <c r="U10" s="179"/>
      <c r="V10" s="179"/>
      <c r="W10" s="179"/>
      <c r="X10" s="179"/>
      <c r="Y10" s="179"/>
      <c r="Z10" s="179"/>
    </row>
    <row r="11" spans="1:26" x14ac:dyDescent="0.2">
      <c r="A11" s="181"/>
      <c r="B11" s="179"/>
      <c r="C11" s="179"/>
      <c r="D11" s="179"/>
      <c r="E11" s="179"/>
      <c r="F11" s="179"/>
      <c r="G11" s="179"/>
      <c r="H11" s="179"/>
      <c r="I11" s="179"/>
      <c r="J11" s="179"/>
      <c r="K11" s="179"/>
      <c r="L11" s="179"/>
      <c r="M11" s="179"/>
      <c r="O11" s="179"/>
      <c r="P11" s="179"/>
      <c r="Q11" s="179"/>
      <c r="R11" s="179"/>
      <c r="S11" s="179"/>
      <c r="T11" s="179"/>
      <c r="U11" s="179"/>
      <c r="V11" s="179"/>
      <c r="W11" s="179"/>
      <c r="X11" s="179"/>
      <c r="Y11" s="179"/>
      <c r="Z11" s="179"/>
    </row>
    <row r="12" spans="1:26" x14ac:dyDescent="0.2">
      <c r="A12" s="181"/>
      <c r="B12" s="179"/>
      <c r="C12" s="179"/>
      <c r="D12" s="179"/>
      <c r="E12" s="179"/>
      <c r="F12" s="179"/>
      <c r="G12" s="179"/>
      <c r="H12" s="179"/>
      <c r="I12" s="179"/>
      <c r="J12" s="179"/>
      <c r="K12" s="179"/>
      <c r="L12" s="179"/>
      <c r="M12" s="179"/>
      <c r="O12" s="179"/>
      <c r="P12" s="179"/>
      <c r="Q12" s="179"/>
      <c r="R12" s="179"/>
      <c r="S12" s="179"/>
      <c r="T12" s="179"/>
      <c r="U12" s="179"/>
      <c r="V12" s="179"/>
      <c r="W12" s="179"/>
      <c r="X12" s="179"/>
      <c r="Y12" s="179"/>
      <c r="Z12" s="179"/>
    </row>
    <row r="13" spans="1:26" x14ac:dyDescent="0.2">
      <c r="A13" s="181"/>
      <c r="B13" s="179"/>
      <c r="C13" s="179"/>
      <c r="D13" s="179"/>
      <c r="E13" s="179"/>
      <c r="F13" s="179"/>
      <c r="G13" s="179"/>
      <c r="H13" s="179"/>
      <c r="I13" s="179"/>
      <c r="J13" s="179"/>
      <c r="K13" s="179"/>
      <c r="L13" s="179"/>
      <c r="M13" s="179"/>
      <c r="O13" s="179"/>
      <c r="P13" s="179"/>
      <c r="Q13" s="179"/>
      <c r="R13" s="179"/>
      <c r="S13" s="179"/>
      <c r="T13" s="179"/>
      <c r="U13" s="179"/>
      <c r="V13" s="179"/>
      <c r="W13" s="179"/>
      <c r="X13" s="179"/>
      <c r="Y13" s="179"/>
      <c r="Z13" s="179"/>
    </row>
    <row r="14" spans="1:26" x14ac:dyDescent="0.2">
      <c r="A14" s="181"/>
      <c r="B14" s="179"/>
      <c r="C14" s="179"/>
      <c r="D14" s="179"/>
      <c r="E14" s="179"/>
      <c r="F14" s="179"/>
      <c r="G14" s="179"/>
      <c r="H14" s="179"/>
      <c r="I14" s="179"/>
      <c r="J14" s="179"/>
      <c r="K14" s="179"/>
      <c r="L14" s="179"/>
      <c r="M14" s="179"/>
      <c r="O14" s="179"/>
      <c r="P14" s="179"/>
      <c r="Q14" s="179"/>
      <c r="R14" s="179"/>
      <c r="S14" s="179"/>
      <c r="T14" s="179"/>
      <c r="U14" s="179"/>
      <c r="V14" s="179"/>
      <c r="W14" s="179"/>
      <c r="X14" s="179"/>
      <c r="Y14" s="179"/>
      <c r="Z14" s="179"/>
    </row>
    <row r="15" spans="1:26" x14ac:dyDescent="0.2">
      <c r="A15" s="181"/>
      <c r="B15" s="179"/>
      <c r="C15" s="179"/>
      <c r="D15" s="179"/>
      <c r="E15" s="179"/>
      <c r="F15" s="179"/>
      <c r="G15" s="179"/>
      <c r="H15" s="179"/>
      <c r="I15" s="179"/>
      <c r="J15" s="179"/>
      <c r="K15" s="179"/>
      <c r="L15" s="179"/>
      <c r="M15" s="179"/>
      <c r="O15" s="179"/>
      <c r="P15" s="179"/>
      <c r="Q15" s="179"/>
      <c r="R15" s="179"/>
      <c r="S15" s="179"/>
      <c r="T15" s="179"/>
      <c r="U15" s="179"/>
      <c r="V15" s="179"/>
      <c r="W15" s="179"/>
      <c r="X15" s="179"/>
      <c r="Y15" s="179"/>
      <c r="Z15" s="179"/>
    </row>
    <row r="16" spans="1:26" x14ac:dyDescent="0.2">
      <c r="A16" s="181"/>
      <c r="B16" s="179"/>
      <c r="C16" s="179"/>
      <c r="D16" s="179"/>
      <c r="E16" s="179"/>
      <c r="F16" s="179"/>
      <c r="G16" s="179"/>
      <c r="H16" s="179"/>
      <c r="I16" s="179"/>
      <c r="J16" s="179"/>
      <c r="K16" s="179"/>
      <c r="L16" s="179"/>
      <c r="M16" s="179"/>
      <c r="O16" s="179"/>
      <c r="P16" s="179"/>
      <c r="Q16" s="179"/>
      <c r="R16" s="179"/>
      <c r="S16" s="179"/>
      <c r="T16" s="179"/>
      <c r="U16" s="179"/>
      <c r="V16" s="179"/>
      <c r="W16" s="179"/>
      <c r="X16" s="179"/>
      <c r="Y16" s="179"/>
      <c r="Z16" s="179"/>
    </row>
    <row r="17" spans="1:26" x14ac:dyDescent="0.2">
      <c r="A17" s="181"/>
      <c r="B17" s="179"/>
      <c r="C17" s="179"/>
      <c r="D17" s="179"/>
      <c r="E17" s="179"/>
      <c r="F17" s="179"/>
      <c r="G17" s="179"/>
      <c r="H17" s="179"/>
      <c r="I17" s="179"/>
      <c r="J17" s="179"/>
      <c r="K17" s="179"/>
      <c r="L17" s="179"/>
      <c r="M17" s="179"/>
      <c r="O17" s="179"/>
      <c r="P17" s="179"/>
      <c r="Q17" s="179"/>
      <c r="R17" s="179"/>
      <c r="S17" s="179"/>
      <c r="T17" s="179"/>
      <c r="U17" s="179"/>
      <c r="V17" s="179"/>
      <c r="W17" s="179"/>
      <c r="X17" s="179"/>
      <c r="Y17" s="179"/>
      <c r="Z17" s="179"/>
    </row>
    <row r="18" spans="1:26" x14ac:dyDescent="0.2">
      <c r="A18" s="181"/>
      <c r="B18" s="179"/>
      <c r="C18" s="179"/>
      <c r="D18" s="179"/>
      <c r="E18" s="179"/>
      <c r="F18" s="179"/>
      <c r="G18" s="179"/>
      <c r="H18" s="179"/>
      <c r="I18" s="179"/>
      <c r="J18" s="179"/>
      <c r="K18" s="179"/>
      <c r="L18" s="179"/>
      <c r="M18" s="179"/>
      <c r="O18" s="179"/>
      <c r="P18" s="179"/>
      <c r="Q18" s="179"/>
      <c r="R18" s="179"/>
      <c r="S18" s="179"/>
      <c r="T18" s="179"/>
      <c r="U18" s="179"/>
      <c r="V18" s="179"/>
      <c r="W18" s="179"/>
      <c r="X18" s="179"/>
      <c r="Y18" s="179"/>
      <c r="Z18" s="179"/>
    </row>
    <row r="19" spans="1:26" x14ac:dyDescent="0.2">
      <c r="A19" s="181"/>
      <c r="B19" s="179"/>
      <c r="C19" s="179"/>
      <c r="D19" s="179"/>
      <c r="E19" s="179"/>
      <c r="F19" s="179"/>
      <c r="G19" s="179"/>
      <c r="H19" s="179"/>
      <c r="I19" s="179"/>
      <c r="J19" s="179"/>
      <c r="K19" s="179"/>
      <c r="L19" s="179"/>
      <c r="M19" s="179"/>
      <c r="O19" s="179"/>
      <c r="P19" s="179"/>
      <c r="Q19" s="179"/>
      <c r="R19" s="179"/>
      <c r="S19" s="179"/>
      <c r="T19" s="179"/>
      <c r="U19" s="179"/>
      <c r="V19" s="179"/>
      <c r="W19" s="179"/>
      <c r="X19" s="179"/>
      <c r="Y19" s="179"/>
      <c r="Z19" s="179"/>
    </row>
    <row r="20" spans="1:26" x14ac:dyDescent="0.2">
      <c r="A20" s="181"/>
      <c r="B20" s="179"/>
      <c r="C20" s="179"/>
      <c r="D20" s="179"/>
      <c r="E20" s="179"/>
      <c r="F20" s="179"/>
      <c r="G20" s="179"/>
      <c r="H20" s="179"/>
      <c r="I20" s="179"/>
      <c r="J20" s="179"/>
      <c r="K20" s="179"/>
      <c r="L20" s="179"/>
      <c r="M20" s="179"/>
      <c r="O20" s="179"/>
      <c r="P20" s="179"/>
      <c r="Q20" s="179"/>
      <c r="R20" s="179"/>
      <c r="S20" s="179"/>
      <c r="T20" s="179"/>
      <c r="U20" s="179"/>
      <c r="V20" s="179"/>
      <c r="W20" s="179"/>
      <c r="X20" s="179"/>
      <c r="Y20" s="179"/>
      <c r="Z20" s="179"/>
    </row>
    <row r="21" spans="1:26" x14ac:dyDescent="0.2">
      <c r="A21" s="181"/>
      <c r="B21" s="179"/>
      <c r="C21" s="179"/>
      <c r="D21" s="179"/>
      <c r="E21" s="179"/>
      <c r="F21" s="179"/>
      <c r="G21" s="179"/>
      <c r="H21" s="179"/>
      <c r="I21" s="179"/>
      <c r="J21" s="179"/>
      <c r="K21" s="179"/>
      <c r="L21" s="179"/>
      <c r="M21" s="179"/>
      <c r="O21" s="179"/>
      <c r="P21" s="179"/>
      <c r="Q21" s="179"/>
      <c r="R21" s="179"/>
      <c r="S21" s="179"/>
      <c r="T21" s="179"/>
      <c r="U21" s="179"/>
      <c r="V21" s="179"/>
      <c r="W21" s="179"/>
      <c r="X21" s="179"/>
      <c r="Y21" s="179"/>
      <c r="Z21" s="179"/>
    </row>
    <row r="22" spans="1:26" x14ac:dyDescent="0.2">
      <c r="A22" s="181"/>
      <c r="B22" s="179"/>
      <c r="C22" s="179"/>
      <c r="D22" s="179"/>
      <c r="E22" s="179"/>
      <c r="F22" s="179"/>
      <c r="G22" s="179"/>
      <c r="H22" s="179"/>
      <c r="I22" s="179"/>
      <c r="J22" s="179"/>
      <c r="K22" s="179"/>
      <c r="L22" s="179"/>
      <c r="M22" s="179"/>
      <c r="O22" s="179"/>
      <c r="P22" s="179"/>
      <c r="Q22" s="179"/>
      <c r="R22" s="179"/>
      <c r="S22" s="179"/>
      <c r="T22" s="179"/>
      <c r="U22" s="179"/>
      <c r="V22" s="179"/>
      <c r="W22" s="179"/>
      <c r="X22" s="179"/>
      <c r="Y22" s="179"/>
      <c r="Z22" s="179"/>
    </row>
    <row r="23" spans="1:26" x14ac:dyDescent="0.2">
      <c r="A23" s="181"/>
      <c r="B23" s="179"/>
      <c r="C23" s="179"/>
      <c r="D23" s="179"/>
      <c r="E23" s="179"/>
      <c r="F23" s="179"/>
      <c r="G23" s="179"/>
      <c r="H23" s="179"/>
      <c r="I23" s="179"/>
      <c r="J23" s="179"/>
      <c r="K23" s="179"/>
      <c r="L23" s="179"/>
      <c r="M23" s="179"/>
      <c r="O23" s="179"/>
      <c r="P23" s="179"/>
      <c r="Q23" s="179"/>
      <c r="R23" s="179"/>
      <c r="S23" s="179"/>
      <c r="T23" s="179"/>
      <c r="U23" s="179"/>
      <c r="V23" s="179"/>
      <c r="W23" s="179"/>
      <c r="X23" s="179"/>
      <c r="Y23" s="179"/>
      <c r="Z23" s="179"/>
    </row>
    <row r="24" spans="1:26" x14ac:dyDescent="0.2">
      <c r="A24" s="181"/>
      <c r="B24" s="179"/>
      <c r="C24" s="179"/>
      <c r="D24" s="179"/>
      <c r="E24" s="179"/>
      <c r="F24" s="179"/>
      <c r="G24" s="179"/>
      <c r="H24" s="179"/>
      <c r="I24" s="179"/>
      <c r="J24" s="179"/>
      <c r="K24" s="179"/>
      <c r="L24" s="179"/>
      <c r="M24" s="179"/>
      <c r="O24" s="179"/>
      <c r="P24" s="179"/>
      <c r="Q24" s="179"/>
      <c r="R24" s="179"/>
      <c r="S24" s="179"/>
      <c r="T24" s="179"/>
      <c r="U24" s="179"/>
      <c r="V24" s="179"/>
      <c r="W24" s="179"/>
      <c r="X24" s="179"/>
      <c r="Y24" s="179"/>
      <c r="Z24" s="179"/>
    </row>
    <row r="25" spans="1:26" x14ac:dyDescent="0.2">
      <c r="A25" s="181"/>
      <c r="B25" s="179"/>
      <c r="C25" s="179"/>
      <c r="D25" s="179"/>
      <c r="E25" s="179"/>
      <c r="F25" s="179"/>
      <c r="G25" s="179"/>
      <c r="H25" s="179"/>
      <c r="I25" s="179"/>
      <c r="J25" s="179"/>
      <c r="K25" s="179"/>
      <c r="L25" s="179"/>
      <c r="M25" s="179"/>
      <c r="O25" s="179"/>
      <c r="P25" s="179"/>
      <c r="Q25" s="179"/>
      <c r="R25" s="179"/>
      <c r="S25" s="179"/>
      <c r="T25" s="179"/>
      <c r="U25" s="179"/>
      <c r="V25" s="179"/>
      <c r="W25" s="179"/>
      <c r="X25" s="179"/>
      <c r="Y25" s="179"/>
      <c r="Z25" s="179"/>
    </row>
    <row r="26" spans="1:26" x14ac:dyDescent="0.2">
      <c r="A26" s="181"/>
      <c r="B26" s="179"/>
      <c r="C26" s="179"/>
      <c r="D26" s="179"/>
      <c r="E26" s="179"/>
      <c r="F26" s="179"/>
      <c r="G26" s="179"/>
      <c r="H26" s="179"/>
      <c r="I26" s="179"/>
      <c r="J26" s="179"/>
      <c r="K26" s="179"/>
      <c r="L26" s="179"/>
      <c r="M26" s="179"/>
      <c r="O26" s="179"/>
      <c r="P26" s="179"/>
      <c r="Q26" s="179"/>
      <c r="R26" s="179"/>
      <c r="S26" s="179"/>
      <c r="T26" s="179"/>
      <c r="U26" s="179"/>
      <c r="V26" s="179"/>
      <c r="W26" s="179"/>
      <c r="X26" s="179"/>
      <c r="Y26" s="179"/>
      <c r="Z26" s="179"/>
    </row>
    <row r="27" spans="1:26" x14ac:dyDescent="0.2">
      <c r="A27" s="181"/>
      <c r="B27" s="179"/>
      <c r="C27" s="179"/>
      <c r="D27" s="179"/>
      <c r="E27" s="179"/>
      <c r="F27" s="179"/>
      <c r="G27" s="179"/>
      <c r="H27" s="179"/>
      <c r="I27" s="179"/>
      <c r="J27" s="179"/>
      <c r="K27" s="179"/>
      <c r="L27" s="179"/>
      <c r="M27" s="179"/>
      <c r="O27" s="179"/>
      <c r="P27" s="179"/>
      <c r="Q27" s="179"/>
      <c r="R27" s="179"/>
      <c r="S27" s="179"/>
      <c r="T27" s="179"/>
      <c r="U27" s="179"/>
      <c r="V27" s="179"/>
      <c r="W27" s="179"/>
      <c r="X27" s="179"/>
      <c r="Y27" s="179"/>
      <c r="Z27" s="179"/>
    </row>
    <row r="28" spans="1:26" x14ac:dyDescent="0.2">
      <c r="A28" s="181"/>
      <c r="B28" s="179"/>
      <c r="C28" s="179"/>
      <c r="D28" s="179"/>
      <c r="E28" s="179"/>
      <c r="F28" s="179"/>
      <c r="G28" s="179"/>
      <c r="H28" s="179"/>
      <c r="I28" s="179"/>
      <c r="J28" s="179"/>
      <c r="K28" s="179"/>
      <c r="L28" s="179"/>
      <c r="M28" s="179"/>
      <c r="O28" s="179"/>
      <c r="P28" s="179"/>
      <c r="Q28" s="179"/>
      <c r="R28" s="179"/>
      <c r="S28" s="179"/>
      <c r="T28" s="179"/>
      <c r="U28" s="179"/>
      <c r="V28" s="179"/>
      <c r="W28" s="179"/>
      <c r="X28" s="179"/>
      <c r="Y28" s="179"/>
      <c r="Z28" s="179"/>
    </row>
    <row r="29" spans="1:26" x14ac:dyDescent="0.2">
      <c r="A29" s="181"/>
      <c r="B29" s="179"/>
      <c r="C29" s="179"/>
      <c r="D29" s="179"/>
      <c r="E29" s="179"/>
      <c r="F29" s="179"/>
      <c r="G29" s="179"/>
      <c r="H29" s="179"/>
      <c r="I29" s="179"/>
      <c r="J29" s="179"/>
      <c r="K29" s="179"/>
      <c r="L29" s="179"/>
      <c r="M29" s="179"/>
      <c r="O29" s="179"/>
      <c r="P29" s="179"/>
      <c r="Q29" s="179"/>
      <c r="R29" s="179"/>
      <c r="S29" s="179"/>
      <c r="T29" s="179"/>
      <c r="U29" s="179"/>
      <c r="V29" s="179"/>
      <c r="W29" s="179"/>
      <c r="X29" s="179"/>
      <c r="Y29" s="179"/>
      <c r="Z29" s="179"/>
    </row>
    <row r="30" spans="1:26" x14ac:dyDescent="0.2">
      <c r="A30" s="181"/>
      <c r="B30" s="179"/>
      <c r="C30" s="179"/>
      <c r="D30" s="179"/>
      <c r="E30" s="179"/>
      <c r="F30" s="179"/>
      <c r="G30" s="179"/>
      <c r="H30" s="179"/>
      <c r="I30" s="179"/>
      <c r="J30" s="179"/>
      <c r="K30" s="179"/>
      <c r="L30" s="179"/>
      <c r="M30" s="179"/>
      <c r="O30" s="179"/>
      <c r="P30" s="179"/>
      <c r="Q30" s="179"/>
      <c r="R30" s="179"/>
      <c r="S30" s="179"/>
      <c r="T30" s="179"/>
      <c r="U30" s="179"/>
      <c r="V30" s="179"/>
      <c r="W30" s="179"/>
      <c r="X30" s="179"/>
      <c r="Y30" s="179"/>
      <c r="Z30" s="179"/>
    </row>
    <row r="31" spans="1:26" x14ac:dyDescent="0.2">
      <c r="A31" s="181"/>
      <c r="B31" s="179"/>
      <c r="C31" s="179"/>
      <c r="D31" s="179"/>
      <c r="E31" s="179"/>
      <c r="F31" s="179"/>
      <c r="G31" s="179"/>
      <c r="H31" s="179"/>
      <c r="I31" s="179"/>
      <c r="J31" s="179"/>
      <c r="K31" s="179"/>
      <c r="L31" s="179"/>
      <c r="M31" s="179"/>
      <c r="O31" s="179"/>
      <c r="P31" s="179"/>
      <c r="Q31" s="179"/>
      <c r="R31" s="179"/>
      <c r="S31" s="179"/>
      <c r="T31" s="179"/>
      <c r="U31" s="179"/>
      <c r="V31" s="179"/>
      <c r="W31" s="179"/>
      <c r="X31" s="179"/>
      <c r="Y31" s="179"/>
      <c r="Z31" s="179"/>
    </row>
    <row r="32" spans="1:26" x14ac:dyDescent="0.2">
      <c r="A32" s="181"/>
      <c r="B32" s="179"/>
      <c r="C32" s="179"/>
      <c r="D32" s="179"/>
      <c r="E32" s="179"/>
      <c r="F32" s="179"/>
      <c r="G32" s="179"/>
      <c r="H32" s="179"/>
      <c r="I32" s="179"/>
      <c r="J32" s="179"/>
      <c r="K32" s="179"/>
      <c r="L32" s="179"/>
      <c r="M32" s="179"/>
      <c r="O32" s="179"/>
      <c r="P32" s="179"/>
      <c r="Q32" s="179"/>
      <c r="R32" s="179"/>
      <c r="S32" s="179"/>
      <c r="T32" s="179"/>
      <c r="U32" s="179"/>
      <c r="V32" s="179"/>
      <c r="W32" s="179"/>
      <c r="X32" s="179"/>
      <c r="Y32" s="179"/>
      <c r="Z32" s="179"/>
    </row>
    <row r="33" spans="1:26" x14ac:dyDescent="0.2">
      <c r="A33" s="181"/>
      <c r="B33" s="179"/>
      <c r="C33" s="179"/>
      <c r="D33" s="179"/>
      <c r="E33" s="179"/>
      <c r="F33" s="179"/>
      <c r="G33" s="179"/>
      <c r="H33" s="179"/>
      <c r="I33" s="179"/>
      <c r="J33" s="179"/>
      <c r="K33" s="179"/>
      <c r="L33" s="179"/>
      <c r="M33" s="179"/>
      <c r="O33" s="179"/>
      <c r="P33" s="179"/>
      <c r="Q33" s="179"/>
      <c r="R33" s="179"/>
      <c r="S33" s="179"/>
      <c r="T33" s="179"/>
      <c r="U33" s="179"/>
      <c r="V33" s="179"/>
      <c r="W33" s="179"/>
      <c r="X33" s="179"/>
      <c r="Y33" s="179"/>
      <c r="Z33" s="179"/>
    </row>
    <row r="34" spans="1:26" x14ac:dyDescent="0.2">
      <c r="A34" s="181"/>
      <c r="B34" s="179"/>
      <c r="C34" s="179"/>
      <c r="D34" s="179"/>
      <c r="E34" s="179"/>
      <c r="F34" s="179"/>
      <c r="G34" s="179"/>
      <c r="H34" s="179"/>
      <c r="I34" s="179"/>
      <c r="J34" s="179"/>
      <c r="K34" s="179"/>
      <c r="L34" s="179"/>
      <c r="M34" s="179"/>
      <c r="O34" s="179"/>
      <c r="P34" s="179"/>
      <c r="Q34" s="179"/>
      <c r="R34" s="179"/>
      <c r="S34" s="179"/>
      <c r="T34" s="179"/>
      <c r="U34" s="179"/>
      <c r="V34" s="179"/>
      <c r="W34" s="179"/>
      <c r="X34" s="179"/>
      <c r="Y34" s="179"/>
      <c r="Z34" s="179"/>
    </row>
    <row r="35" spans="1:26" x14ac:dyDescent="0.2">
      <c r="A35" s="181"/>
      <c r="B35" s="179"/>
      <c r="C35" s="179"/>
      <c r="D35" s="179"/>
      <c r="E35" s="179"/>
      <c r="F35" s="179"/>
      <c r="G35" s="179"/>
      <c r="H35" s="179"/>
      <c r="I35" s="179"/>
      <c r="J35" s="179"/>
      <c r="K35" s="179"/>
      <c r="L35" s="179"/>
      <c r="M35" s="179"/>
      <c r="O35" s="179"/>
      <c r="P35" s="179"/>
      <c r="Q35" s="179"/>
      <c r="R35" s="179"/>
      <c r="S35" s="179"/>
      <c r="T35" s="179"/>
      <c r="U35" s="179"/>
      <c r="V35" s="179"/>
      <c r="W35" s="179"/>
      <c r="X35" s="179"/>
      <c r="Y35" s="179"/>
      <c r="Z35" s="179"/>
    </row>
    <row r="36" spans="1:26" x14ac:dyDescent="0.2">
      <c r="A36" s="181"/>
      <c r="B36" s="179"/>
      <c r="C36" s="179"/>
      <c r="D36" s="179"/>
      <c r="E36" s="179"/>
      <c r="F36" s="179"/>
      <c r="G36" s="179"/>
      <c r="H36" s="179"/>
      <c r="I36" s="179"/>
      <c r="J36" s="179"/>
      <c r="K36" s="179"/>
      <c r="L36" s="179"/>
      <c r="M36" s="179"/>
      <c r="O36" s="179"/>
      <c r="P36" s="179"/>
      <c r="Q36" s="179"/>
      <c r="R36" s="179"/>
      <c r="S36" s="179"/>
      <c r="T36" s="179"/>
      <c r="U36" s="179"/>
      <c r="V36" s="179"/>
      <c r="W36" s="179"/>
      <c r="X36" s="179"/>
      <c r="Y36" s="179"/>
      <c r="Z36" s="179"/>
    </row>
    <row r="37" spans="1:26" x14ac:dyDescent="0.2">
      <c r="A37" s="181"/>
      <c r="B37" s="179"/>
      <c r="C37" s="179"/>
      <c r="D37" s="179"/>
      <c r="E37" s="179"/>
      <c r="F37" s="179"/>
      <c r="G37" s="179"/>
      <c r="H37" s="179"/>
      <c r="I37" s="179"/>
      <c r="J37" s="179"/>
      <c r="K37" s="179"/>
      <c r="L37" s="179"/>
      <c r="M37" s="179"/>
      <c r="O37" s="179"/>
      <c r="P37" s="179"/>
      <c r="Q37" s="179"/>
      <c r="R37" s="179"/>
      <c r="S37" s="179"/>
      <c r="T37" s="179"/>
      <c r="U37" s="179"/>
      <c r="V37" s="179"/>
      <c r="W37" s="179"/>
      <c r="X37" s="179"/>
      <c r="Y37" s="179"/>
      <c r="Z37" s="179"/>
    </row>
    <row r="38" spans="1:26" x14ac:dyDescent="0.2">
      <c r="A38" s="181"/>
      <c r="B38" s="179"/>
      <c r="C38" s="179"/>
      <c r="D38" s="179"/>
      <c r="E38" s="179"/>
      <c r="F38" s="179"/>
      <c r="G38" s="179"/>
      <c r="H38" s="179"/>
      <c r="I38" s="179"/>
      <c r="J38" s="179"/>
      <c r="K38" s="179"/>
      <c r="L38" s="179"/>
      <c r="M38" s="179"/>
      <c r="O38" s="179"/>
      <c r="P38" s="179"/>
      <c r="Q38" s="179"/>
      <c r="R38" s="179"/>
      <c r="S38" s="179"/>
      <c r="T38" s="179"/>
      <c r="U38" s="179"/>
      <c r="V38" s="179"/>
      <c r="W38" s="179"/>
      <c r="X38" s="179"/>
      <c r="Y38" s="179"/>
      <c r="Z38" s="179"/>
    </row>
    <row r="39" spans="1:26" x14ac:dyDescent="0.2">
      <c r="A39" s="181"/>
      <c r="B39" s="179"/>
      <c r="C39" s="179"/>
      <c r="D39" s="179"/>
      <c r="E39" s="179"/>
      <c r="F39" s="179"/>
      <c r="G39" s="179"/>
      <c r="H39" s="179"/>
      <c r="I39" s="179"/>
      <c r="J39" s="179"/>
      <c r="K39" s="179"/>
      <c r="L39" s="179"/>
      <c r="M39" s="179"/>
      <c r="O39" s="179"/>
      <c r="P39" s="179"/>
      <c r="Q39" s="179"/>
      <c r="R39" s="179"/>
      <c r="S39" s="179"/>
      <c r="T39" s="179"/>
      <c r="U39" s="179"/>
      <c r="V39" s="179"/>
      <c r="W39" s="179"/>
      <c r="X39" s="179"/>
      <c r="Y39" s="179"/>
      <c r="Z39" s="179"/>
    </row>
    <row r="40" spans="1:26" x14ac:dyDescent="0.2">
      <c r="A40" s="181"/>
      <c r="B40" s="179"/>
      <c r="C40" s="179"/>
      <c r="D40" s="179"/>
      <c r="E40" s="179"/>
      <c r="F40" s="179"/>
      <c r="G40" s="179"/>
      <c r="H40" s="179"/>
      <c r="I40" s="179"/>
      <c r="J40" s="179"/>
      <c r="K40" s="179"/>
      <c r="L40" s="179"/>
      <c r="M40" s="179"/>
      <c r="O40" s="179"/>
      <c r="P40" s="179"/>
      <c r="Q40" s="179"/>
      <c r="R40" s="179"/>
      <c r="S40" s="179"/>
      <c r="T40" s="179"/>
      <c r="U40" s="179"/>
      <c r="V40" s="179"/>
      <c r="W40" s="179"/>
      <c r="X40" s="179"/>
      <c r="Y40" s="179"/>
      <c r="Z40" s="179"/>
    </row>
    <row r="41" spans="1:26" x14ac:dyDescent="0.2">
      <c r="A41" s="181"/>
      <c r="B41" s="179"/>
      <c r="C41" s="179"/>
      <c r="D41" s="179"/>
      <c r="E41" s="179"/>
      <c r="F41" s="179"/>
      <c r="G41" s="179"/>
      <c r="H41" s="179"/>
      <c r="I41" s="179"/>
      <c r="J41" s="179"/>
      <c r="K41" s="179"/>
      <c r="L41" s="179"/>
      <c r="M41" s="179"/>
      <c r="O41" s="179"/>
      <c r="P41" s="179"/>
      <c r="Q41" s="179"/>
      <c r="R41" s="179"/>
      <c r="S41" s="179"/>
      <c r="T41" s="179"/>
      <c r="U41" s="179"/>
      <c r="V41" s="179"/>
      <c r="W41" s="179"/>
      <c r="X41" s="179"/>
      <c r="Y41" s="179"/>
      <c r="Z41" s="179"/>
    </row>
    <row r="42" spans="1:26" x14ac:dyDescent="0.2">
      <c r="A42" s="181"/>
      <c r="B42" s="179"/>
      <c r="C42" s="179"/>
      <c r="D42" s="179"/>
      <c r="E42" s="179"/>
      <c r="F42" s="179"/>
      <c r="G42" s="179"/>
      <c r="H42" s="179"/>
      <c r="I42" s="179"/>
      <c r="J42" s="179"/>
      <c r="K42" s="179"/>
      <c r="L42" s="179"/>
      <c r="M42" s="179"/>
      <c r="O42" s="179"/>
      <c r="P42" s="179"/>
      <c r="Q42" s="179"/>
      <c r="R42" s="179"/>
      <c r="S42" s="179"/>
      <c r="T42" s="179"/>
      <c r="U42" s="179"/>
      <c r="V42" s="179"/>
      <c r="W42" s="179"/>
      <c r="X42" s="179"/>
      <c r="Y42" s="179"/>
      <c r="Z42" s="179"/>
    </row>
    <row r="43" spans="1:26" x14ac:dyDescent="0.2">
      <c r="A43" s="181"/>
      <c r="B43" s="179"/>
      <c r="C43" s="179"/>
      <c r="D43" s="179"/>
      <c r="E43" s="179"/>
      <c r="F43" s="179"/>
      <c r="G43" s="179"/>
      <c r="H43" s="179"/>
      <c r="I43" s="179"/>
      <c r="J43" s="179"/>
      <c r="K43" s="179"/>
      <c r="L43" s="179"/>
      <c r="M43" s="179"/>
      <c r="O43" s="179"/>
      <c r="P43" s="179"/>
      <c r="Q43" s="179"/>
      <c r="R43" s="179"/>
      <c r="S43" s="179"/>
      <c r="T43" s="179"/>
      <c r="U43" s="179"/>
      <c r="V43" s="179"/>
      <c r="W43" s="179"/>
      <c r="X43" s="179"/>
      <c r="Y43" s="179"/>
      <c r="Z43" s="179"/>
    </row>
    <row r="44" spans="1:26" x14ac:dyDescent="0.2">
      <c r="A44" s="181"/>
      <c r="B44" s="179"/>
      <c r="C44" s="179"/>
      <c r="D44" s="179"/>
      <c r="E44" s="179"/>
      <c r="F44" s="179"/>
      <c r="G44" s="179"/>
      <c r="H44" s="179"/>
      <c r="I44" s="179"/>
      <c r="J44" s="179"/>
      <c r="K44" s="179"/>
      <c r="L44" s="179"/>
      <c r="M44" s="179"/>
      <c r="O44" s="179"/>
      <c r="P44" s="179"/>
      <c r="Q44" s="179"/>
      <c r="R44" s="179"/>
      <c r="S44" s="179"/>
      <c r="T44" s="179"/>
      <c r="U44" s="179"/>
      <c r="V44" s="179"/>
      <c r="W44" s="179"/>
      <c r="X44" s="179"/>
      <c r="Y44" s="179"/>
      <c r="Z44" s="179"/>
    </row>
    <row r="45" spans="1:26" x14ac:dyDescent="0.2">
      <c r="A45" s="181"/>
      <c r="B45" s="179"/>
      <c r="C45" s="179"/>
      <c r="D45" s="179"/>
      <c r="E45" s="179"/>
      <c r="F45" s="179"/>
      <c r="G45" s="179"/>
      <c r="H45" s="179"/>
      <c r="I45" s="179"/>
      <c r="J45" s="179"/>
      <c r="K45" s="179"/>
      <c r="L45" s="179"/>
      <c r="M45" s="179"/>
      <c r="O45" s="179"/>
      <c r="P45" s="179"/>
      <c r="Q45" s="179"/>
      <c r="R45" s="179"/>
      <c r="S45" s="179"/>
      <c r="T45" s="179"/>
      <c r="U45" s="179"/>
      <c r="V45" s="179"/>
      <c r="W45" s="179"/>
      <c r="X45" s="179"/>
      <c r="Y45" s="179"/>
      <c r="Z45" s="179"/>
    </row>
    <row r="46" spans="1:26" x14ac:dyDescent="0.2">
      <c r="A46" s="181"/>
      <c r="B46" s="179"/>
      <c r="C46" s="179"/>
      <c r="D46" s="179"/>
      <c r="E46" s="179"/>
      <c r="F46" s="179"/>
      <c r="G46" s="179"/>
      <c r="H46" s="179"/>
      <c r="I46" s="179"/>
      <c r="J46" s="179"/>
      <c r="K46" s="179"/>
      <c r="L46" s="179"/>
      <c r="M46" s="179"/>
      <c r="O46" s="179"/>
      <c r="P46" s="179"/>
      <c r="Q46" s="179"/>
      <c r="R46" s="179"/>
      <c r="S46" s="179"/>
      <c r="T46" s="179"/>
      <c r="U46" s="179"/>
      <c r="V46" s="179"/>
      <c r="W46" s="179"/>
      <c r="X46" s="179"/>
      <c r="Y46" s="179"/>
      <c r="Z46" s="179"/>
    </row>
    <row r="47" spans="1:26" x14ac:dyDescent="0.2">
      <c r="A47" s="181"/>
      <c r="B47" s="179"/>
      <c r="C47" s="179"/>
      <c r="D47" s="179"/>
      <c r="E47" s="179"/>
      <c r="F47" s="179"/>
      <c r="G47" s="179"/>
      <c r="H47" s="179"/>
      <c r="I47" s="179"/>
      <c r="J47" s="179"/>
      <c r="K47" s="179"/>
      <c r="L47" s="179"/>
      <c r="M47" s="179"/>
      <c r="O47" s="179"/>
      <c r="P47" s="179"/>
      <c r="Q47" s="179"/>
      <c r="R47" s="179"/>
      <c r="S47" s="179"/>
      <c r="T47" s="179"/>
      <c r="U47" s="179"/>
      <c r="V47" s="179"/>
      <c r="W47" s="179"/>
      <c r="X47" s="179"/>
      <c r="Y47" s="179"/>
      <c r="Z47" s="179"/>
    </row>
    <row r="48" spans="1:26" x14ac:dyDescent="0.2">
      <c r="A48" s="181"/>
      <c r="B48" s="179"/>
      <c r="C48" s="179"/>
      <c r="D48" s="179"/>
      <c r="E48" s="179"/>
      <c r="F48" s="179"/>
      <c r="G48" s="179"/>
      <c r="H48" s="179"/>
      <c r="I48" s="179"/>
      <c r="J48" s="179"/>
      <c r="K48" s="179"/>
      <c r="L48" s="179"/>
      <c r="M48" s="179"/>
      <c r="O48" s="179"/>
      <c r="P48" s="179"/>
      <c r="Q48" s="179"/>
      <c r="R48" s="179"/>
      <c r="S48" s="179"/>
      <c r="T48" s="179"/>
      <c r="U48" s="179"/>
      <c r="V48" s="179"/>
      <c r="W48" s="179"/>
      <c r="X48" s="179"/>
      <c r="Y48" s="179"/>
      <c r="Z48" s="179"/>
    </row>
    <row r="49" spans="1:26" x14ac:dyDescent="0.2">
      <c r="A49" s="181"/>
      <c r="B49" s="179"/>
      <c r="C49" s="179"/>
      <c r="D49" s="179"/>
      <c r="E49" s="179"/>
      <c r="F49" s="179"/>
      <c r="G49" s="179"/>
      <c r="H49" s="179"/>
      <c r="I49" s="179"/>
      <c r="J49" s="179"/>
      <c r="K49" s="179"/>
      <c r="L49" s="179"/>
      <c r="M49" s="179"/>
      <c r="O49" s="179"/>
      <c r="P49" s="179"/>
      <c r="Q49" s="179"/>
      <c r="R49" s="179"/>
      <c r="S49" s="179"/>
      <c r="T49" s="179"/>
      <c r="U49" s="179"/>
      <c r="V49" s="179"/>
      <c r="W49" s="179"/>
      <c r="X49" s="179"/>
      <c r="Y49" s="179"/>
      <c r="Z49" s="179"/>
    </row>
    <row r="50" spans="1:26" x14ac:dyDescent="0.2">
      <c r="A50" s="181"/>
      <c r="B50" s="179"/>
      <c r="C50" s="179"/>
      <c r="D50" s="179"/>
      <c r="E50" s="179"/>
      <c r="F50" s="179"/>
      <c r="G50" s="179"/>
      <c r="H50" s="179"/>
      <c r="I50" s="179"/>
      <c r="J50" s="179"/>
      <c r="K50" s="179"/>
      <c r="L50" s="179"/>
      <c r="M50" s="179"/>
      <c r="O50" s="179"/>
      <c r="P50" s="179"/>
      <c r="Q50" s="179"/>
      <c r="R50" s="179"/>
      <c r="S50" s="179"/>
      <c r="T50" s="179"/>
      <c r="U50" s="179"/>
      <c r="V50" s="179"/>
      <c r="W50" s="179"/>
      <c r="X50" s="179"/>
      <c r="Y50" s="179"/>
      <c r="Z50" s="179"/>
    </row>
  </sheetData>
  <sheetProtection sheet="1" objects="1" scenarios="1"/>
  <mergeCells count="2">
    <mergeCell ref="B7:F7"/>
    <mergeCell ref="B9:G9"/>
  </mergeCells>
  <conditionalFormatting sqref="C2">
    <cfRule type="cellIs" dxfId="7" priority="1" operator="notEqual">
      <formula>""</formula>
    </cfRule>
  </conditionalFormatting>
  <printOptions horizontalCentered="1"/>
  <pageMargins left="0" right="0" top="0.39370078740157483" bottom="0" header="0" footer="0"/>
  <pageSetup paperSize="9" orientation="landscape" blackAndWhite="1" verticalDpi="4294967293" r:id="rId1"/>
  <headerFooter>
    <oddHeader xml:space="preserve">&amp;R&amp;8Data impressão    &amp;D       </oddHeader>
  </headerFooter>
  <drawing r:id="rId2"/>
  <legacyDrawing r:id="rId3"/>
  <mc:AlternateContent xmlns:mc="http://schemas.openxmlformats.org/markup-compatibility/2006">
    <mc:Choice Requires="x14">
      <controls>
        <mc:AlternateContent xmlns:mc="http://schemas.openxmlformats.org/markup-compatibility/2006">
          <mc:Choice Requires="x14">
            <control shapeId="21506" r:id="rId4" name="Drop Down 2">
              <controlPr defaultSize="0" print="0" autoLine="0" autoPict="0">
                <anchor moveWithCells="1">
                  <from>
                    <xdr:col>2</xdr:col>
                    <xdr:colOff>171450</xdr:colOff>
                    <xdr:row>0</xdr:row>
                    <xdr:rowOff>9525</xdr:rowOff>
                  </from>
                  <to>
                    <xdr:col>4</xdr:col>
                    <xdr:colOff>266700</xdr:colOff>
                    <xdr:row>1</xdr:row>
                    <xdr:rowOff>9525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Plan19">
    <pageSetUpPr fitToPage="1"/>
  </sheetPr>
  <dimension ref="A1:AD3"/>
  <sheetViews>
    <sheetView showZeros="0" zoomScaleNormal="100" workbookViewId="0">
      <pane ySplit="1" topLeftCell="A2" activePane="bottomLeft" state="frozen"/>
      <selection pane="bottomLeft" activeCell="D5" sqref="D5"/>
    </sheetView>
  </sheetViews>
  <sheetFormatPr defaultRowHeight="12.75" x14ac:dyDescent="0.2"/>
  <cols>
    <col min="1" max="1" width="9.7109375" style="165" customWidth="1"/>
    <col min="2" max="2" width="23" style="183" hidden="1" customWidth="1"/>
    <col min="3" max="3" width="10.7109375" style="166" customWidth="1"/>
    <col min="4" max="4" width="8.140625" style="165" customWidth="1"/>
    <col min="5" max="5" width="18.7109375" style="125" customWidth="1"/>
    <col min="6" max="15" width="5.140625" style="121" customWidth="1"/>
    <col min="16" max="25" width="4.42578125" style="121" customWidth="1"/>
    <col min="26" max="26" width="7.140625" style="125" customWidth="1"/>
    <col min="27" max="27" width="11.42578125" style="121" customWidth="1"/>
    <col min="28" max="28" width="10.5703125" style="166" customWidth="1"/>
    <col min="29" max="29" width="12.5703125" style="121" customWidth="1"/>
    <col min="30" max="30" width="3.28515625" style="121" customWidth="1"/>
    <col min="31" max="33" width="11.7109375" style="121" customWidth="1"/>
    <col min="34" max="16384" width="9.140625" style="121"/>
  </cols>
  <sheetData>
    <row r="1" spans="1:30" ht="61.5" customHeight="1" x14ac:dyDescent="0.25">
      <c r="A1" s="231" t="s">
        <v>128</v>
      </c>
      <c r="B1" s="232" t="s">
        <v>30</v>
      </c>
      <c r="C1" s="233" t="s">
        <v>127</v>
      </c>
      <c r="D1" s="231" t="s">
        <v>17</v>
      </c>
      <c r="E1" s="234" t="s">
        <v>122</v>
      </c>
      <c r="F1" s="239" t="s">
        <v>101</v>
      </c>
      <c r="G1" s="239" t="s">
        <v>102</v>
      </c>
      <c r="H1" s="239" t="s">
        <v>103</v>
      </c>
      <c r="I1" s="239" t="s">
        <v>104</v>
      </c>
      <c r="J1" s="239" t="s">
        <v>105</v>
      </c>
      <c r="K1" s="239" t="s">
        <v>106</v>
      </c>
      <c r="L1" s="239" t="s">
        <v>107</v>
      </c>
      <c r="M1" s="239" t="s">
        <v>108</v>
      </c>
      <c r="N1" s="239" t="s">
        <v>109</v>
      </c>
      <c r="O1" s="239" t="s">
        <v>110</v>
      </c>
      <c r="P1" s="236" t="s">
        <v>111</v>
      </c>
      <c r="Q1" s="236" t="s">
        <v>112</v>
      </c>
      <c r="R1" s="236" t="s">
        <v>113</v>
      </c>
      <c r="S1" s="236" t="s">
        <v>114</v>
      </c>
      <c r="T1" s="236" t="s">
        <v>115</v>
      </c>
      <c r="U1" s="236" t="s">
        <v>116</v>
      </c>
      <c r="V1" s="236" t="s">
        <v>117</v>
      </c>
      <c r="W1" s="236" t="s">
        <v>118</v>
      </c>
      <c r="X1" s="236" t="s">
        <v>119</v>
      </c>
      <c r="Y1" s="236" t="s">
        <v>120</v>
      </c>
      <c r="Z1" s="163" t="s">
        <v>31</v>
      </c>
      <c r="AA1" s="168" t="s">
        <v>99</v>
      </c>
      <c r="AB1" s="235" t="s">
        <v>100</v>
      </c>
      <c r="AC1" s="163" t="s">
        <v>7</v>
      </c>
      <c r="AD1" s="164"/>
    </row>
    <row r="2" spans="1:30" ht="18" customHeight="1" x14ac:dyDescent="0.25">
      <c r="A2" s="174">
        <v>0</v>
      </c>
      <c r="B2" s="182" t="str">
        <f>CONCATENATE("Nº OP:  ",A2,"  -  Ref:  ",D2)</f>
        <v>Nº OP:  0  -  Ref:  0</v>
      </c>
      <c r="C2" s="238">
        <v>43304</v>
      </c>
      <c r="D2" s="174">
        <v>0</v>
      </c>
      <c r="E2" s="171">
        <v>0</v>
      </c>
      <c r="F2" s="172">
        <v>0</v>
      </c>
      <c r="G2" s="172"/>
      <c r="H2" s="172"/>
      <c r="I2" s="172">
        <v>0</v>
      </c>
      <c r="J2" s="172">
        <v>0</v>
      </c>
      <c r="K2" s="172">
        <v>0</v>
      </c>
      <c r="L2" s="172">
        <v>0</v>
      </c>
      <c r="M2" s="172">
        <v>0</v>
      </c>
      <c r="N2" s="172">
        <v>0</v>
      </c>
      <c r="O2" s="172">
        <v>0</v>
      </c>
      <c r="P2" s="173"/>
      <c r="Q2" s="173"/>
      <c r="R2" s="173"/>
      <c r="S2" s="173"/>
      <c r="T2" s="173">
        <v>0</v>
      </c>
      <c r="U2" s="173">
        <v>0</v>
      </c>
      <c r="V2" s="173">
        <v>0</v>
      </c>
      <c r="W2" s="173">
        <v>0</v>
      </c>
      <c r="X2" s="173">
        <v>0</v>
      </c>
      <c r="Y2" s="173">
        <v>0</v>
      </c>
      <c r="Z2" s="171"/>
      <c r="AA2" s="77"/>
      <c r="AB2" s="237"/>
      <c r="AC2" s="167"/>
      <c r="AD2" s="164"/>
    </row>
    <row r="3" spans="1:30" ht="18" customHeight="1" x14ac:dyDescent="0.2">
      <c r="A3" s="272"/>
      <c r="B3" s="273"/>
      <c r="C3" s="274"/>
      <c r="D3" s="272"/>
      <c r="E3" s="275"/>
      <c r="F3" s="276"/>
      <c r="G3" s="276"/>
      <c r="H3" s="276"/>
      <c r="I3" s="276"/>
      <c r="J3" s="276"/>
      <c r="K3" s="276"/>
      <c r="L3" s="276"/>
      <c r="M3" s="276"/>
      <c r="N3" s="276"/>
      <c r="O3" s="276"/>
      <c r="P3" s="276"/>
      <c r="Q3" s="276"/>
      <c r="R3" s="276"/>
      <c r="S3" s="276"/>
      <c r="T3" s="276"/>
      <c r="U3" s="276"/>
      <c r="V3" s="276"/>
      <c r="W3" s="276"/>
      <c r="X3" s="276"/>
      <c r="Y3" s="276"/>
      <c r="Z3" s="275"/>
      <c r="AA3" s="276"/>
      <c r="AB3" s="274"/>
      <c r="AC3" s="276"/>
      <c r="AD3" s="164"/>
    </row>
  </sheetData>
  <sheetProtection sheet="1" objects="1" scenarios="1" autoFilter="0"/>
  <autoFilter ref="A1:AC2" xr:uid="{00000000-0009-0000-0000-00000A000000}"/>
  <sortState xmlns:xlrd2="http://schemas.microsoft.com/office/spreadsheetml/2017/richdata2" ref="A2:AC9">
    <sortCondition descending="1" ref="A2:A1000000"/>
  </sortState>
  <printOptions horizontalCentered="1"/>
  <pageMargins left="0" right="0" top="0.39370078740157483" bottom="0" header="0" footer="0"/>
  <pageSetup paperSize="9" scale="78" fitToHeight="0" orientation="landscape" blackAndWhite="1" verticalDpi="4294967293" r:id="rId1"/>
  <headerFooter>
    <oddHeader>&amp;R&amp;8&amp;D    Pág. &amp;P / &amp;N</oddHead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Plan4">
    <pageSetUpPr fitToPage="1"/>
  </sheetPr>
  <dimension ref="A1:T43"/>
  <sheetViews>
    <sheetView workbookViewId="0">
      <pane ySplit="1" topLeftCell="A2" activePane="bottomLeft" state="frozen"/>
      <selection activeCell="B6" sqref="B6"/>
      <selection pane="bottomLeft"/>
    </sheetView>
  </sheetViews>
  <sheetFormatPr defaultRowHeight="15" customHeight="1" x14ac:dyDescent="0.2"/>
  <cols>
    <col min="1" max="1" width="45" style="12" customWidth="1"/>
    <col min="2" max="3" width="15.42578125" style="12" customWidth="1"/>
    <col min="4" max="4" width="12.7109375" style="12" bestFit="1" customWidth="1"/>
    <col min="5" max="5" width="7.7109375" style="12" customWidth="1"/>
    <col min="6" max="16384" width="9.140625" style="12"/>
  </cols>
  <sheetData>
    <row r="1" spans="1:20" ht="39.75" customHeight="1" x14ac:dyDescent="0.2">
      <c r="A1" s="240" t="s">
        <v>28</v>
      </c>
      <c r="B1" s="241" t="s">
        <v>23</v>
      </c>
      <c r="C1" s="241" t="s">
        <v>24</v>
      </c>
      <c r="D1" s="241" t="s">
        <v>11</v>
      </c>
      <c r="E1" s="242"/>
      <c r="F1" s="242"/>
      <c r="G1" s="242"/>
      <c r="H1" s="242"/>
      <c r="I1" s="242"/>
      <c r="J1" s="242"/>
      <c r="K1" s="242"/>
      <c r="L1" s="242"/>
      <c r="M1" s="242"/>
      <c r="N1" s="242"/>
      <c r="O1" s="242"/>
      <c r="P1" s="242"/>
      <c r="Q1" s="242"/>
      <c r="R1" s="242"/>
      <c r="S1" s="242"/>
      <c r="T1" s="242"/>
    </row>
    <row r="2" spans="1:20" ht="15" customHeight="1" x14ac:dyDescent="0.25">
      <c r="A2" s="14">
        <v>0</v>
      </c>
      <c r="B2" s="10"/>
      <c r="C2" s="10"/>
      <c r="D2" s="13"/>
      <c r="E2" s="242"/>
      <c r="F2" s="242"/>
      <c r="G2" s="242"/>
      <c r="H2" s="242"/>
      <c r="I2" s="242"/>
      <c r="J2" s="242"/>
      <c r="K2" s="242"/>
      <c r="L2" s="242"/>
      <c r="M2" s="242"/>
      <c r="N2" s="242"/>
      <c r="O2" s="242"/>
      <c r="P2" s="242"/>
      <c r="Q2" s="242"/>
      <c r="R2" s="242"/>
      <c r="S2" s="242"/>
      <c r="T2" s="242"/>
    </row>
    <row r="3" spans="1:20" ht="15" customHeight="1" x14ac:dyDescent="0.25">
      <c r="A3" s="14"/>
      <c r="B3" s="10"/>
      <c r="C3" s="10"/>
      <c r="D3" s="13"/>
      <c r="E3" s="242"/>
      <c r="F3" s="242"/>
      <c r="G3" s="242"/>
      <c r="H3" s="242"/>
      <c r="I3" s="242"/>
      <c r="J3" s="242"/>
      <c r="K3" s="242"/>
      <c r="L3" s="242"/>
      <c r="M3" s="242"/>
      <c r="N3" s="242"/>
      <c r="O3" s="242"/>
      <c r="P3" s="242"/>
      <c r="Q3" s="242"/>
      <c r="R3" s="242"/>
      <c r="S3" s="242"/>
      <c r="T3" s="242"/>
    </row>
    <row r="4" spans="1:20" ht="15" customHeight="1" x14ac:dyDescent="0.25">
      <c r="A4" s="14"/>
      <c r="B4" s="10"/>
      <c r="C4" s="10"/>
      <c r="D4" s="13"/>
      <c r="E4" s="242"/>
      <c r="F4" s="242"/>
      <c r="G4" s="242"/>
      <c r="H4" s="242"/>
      <c r="I4" s="242"/>
      <c r="J4" s="242"/>
      <c r="K4" s="242"/>
      <c r="L4" s="242"/>
      <c r="M4" s="242"/>
      <c r="N4" s="242"/>
      <c r="O4" s="242"/>
      <c r="P4" s="242"/>
      <c r="Q4" s="242"/>
      <c r="R4" s="242"/>
      <c r="S4" s="242"/>
      <c r="T4" s="242"/>
    </row>
    <row r="5" spans="1:20" ht="15" customHeight="1" x14ac:dyDescent="0.25">
      <c r="A5" s="14"/>
      <c r="B5" s="10"/>
      <c r="C5" s="10"/>
      <c r="D5" s="13"/>
      <c r="E5" s="242"/>
      <c r="F5" s="242"/>
      <c r="G5" s="242"/>
      <c r="H5" s="242"/>
      <c r="I5" s="242"/>
      <c r="J5" s="242"/>
      <c r="K5" s="242"/>
      <c r="L5" s="242"/>
      <c r="M5" s="242"/>
      <c r="N5" s="242"/>
      <c r="O5" s="242"/>
      <c r="P5" s="242"/>
      <c r="Q5" s="242"/>
      <c r="R5" s="242"/>
      <c r="S5" s="242"/>
      <c r="T5" s="242"/>
    </row>
    <row r="6" spans="1:20" ht="15" customHeight="1" x14ac:dyDescent="0.25">
      <c r="A6" s="14"/>
      <c r="B6" s="10"/>
      <c r="C6" s="10"/>
      <c r="D6" s="13"/>
      <c r="E6" s="242"/>
      <c r="F6" s="242"/>
      <c r="G6" s="242"/>
      <c r="H6" s="242"/>
      <c r="I6" s="242"/>
      <c r="J6" s="242"/>
      <c r="K6" s="242"/>
      <c r="L6" s="242"/>
      <c r="M6" s="242"/>
      <c r="N6" s="242"/>
      <c r="O6" s="242"/>
      <c r="P6" s="242"/>
      <c r="Q6" s="242"/>
      <c r="R6" s="242"/>
      <c r="S6" s="242"/>
      <c r="T6" s="242"/>
    </row>
    <row r="7" spans="1:20" ht="15" customHeight="1" x14ac:dyDescent="0.25">
      <c r="A7" s="14"/>
      <c r="B7" s="10"/>
      <c r="C7" s="10"/>
      <c r="D7" s="13"/>
      <c r="E7" s="242"/>
      <c r="F7" s="242"/>
      <c r="G7" s="242"/>
      <c r="H7" s="242"/>
      <c r="I7" s="242"/>
      <c r="J7" s="242"/>
      <c r="K7" s="242"/>
      <c r="L7" s="242"/>
      <c r="M7" s="242"/>
      <c r="N7" s="242"/>
      <c r="O7" s="242"/>
      <c r="P7" s="242"/>
      <c r="Q7" s="242"/>
      <c r="R7" s="242"/>
      <c r="S7" s="242"/>
      <c r="T7" s="242"/>
    </row>
    <row r="8" spans="1:20" ht="15" customHeight="1" x14ac:dyDescent="0.25">
      <c r="A8" s="14"/>
      <c r="B8" s="10"/>
      <c r="C8" s="10"/>
      <c r="D8" s="13"/>
      <c r="E8" s="242"/>
      <c r="F8" s="242"/>
      <c r="G8" s="242"/>
      <c r="H8" s="242"/>
      <c r="I8" s="242"/>
      <c r="J8" s="242"/>
      <c r="K8" s="242"/>
      <c r="L8" s="242"/>
      <c r="M8" s="242"/>
      <c r="N8" s="242"/>
      <c r="O8" s="242"/>
      <c r="P8" s="242"/>
      <c r="Q8" s="242"/>
      <c r="R8" s="242"/>
      <c r="S8" s="242"/>
      <c r="T8" s="242"/>
    </row>
    <row r="9" spans="1:20" ht="15" customHeight="1" x14ac:dyDescent="0.25">
      <c r="A9" s="14"/>
      <c r="B9" s="10"/>
      <c r="C9" s="10"/>
      <c r="D9" s="13"/>
      <c r="E9" s="242"/>
      <c r="F9" s="242"/>
      <c r="G9" s="242"/>
      <c r="H9" s="242"/>
      <c r="I9" s="242"/>
      <c r="J9" s="242"/>
      <c r="K9" s="242"/>
      <c r="L9" s="242"/>
      <c r="M9" s="242"/>
      <c r="N9" s="242"/>
      <c r="O9" s="242"/>
      <c r="P9" s="242"/>
      <c r="Q9" s="242"/>
      <c r="R9" s="242"/>
      <c r="S9" s="242"/>
      <c r="T9" s="242"/>
    </row>
    <row r="10" spans="1:20" ht="15" customHeight="1" x14ac:dyDescent="0.25">
      <c r="A10" s="14"/>
      <c r="B10" s="10"/>
      <c r="C10" s="10"/>
      <c r="D10" s="13"/>
      <c r="E10" s="242"/>
      <c r="F10" s="242"/>
      <c r="G10" s="242"/>
      <c r="H10" s="242"/>
      <c r="I10" s="242"/>
      <c r="J10" s="242"/>
      <c r="K10" s="242"/>
      <c r="L10" s="242"/>
      <c r="M10" s="242"/>
      <c r="N10" s="242"/>
      <c r="O10" s="242"/>
      <c r="P10" s="242"/>
      <c r="Q10" s="242"/>
      <c r="R10" s="242"/>
      <c r="S10" s="242"/>
      <c r="T10" s="242"/>
    </row>
    <row r="11" spans="1:20" ht="15" customHeight="1" x14ac:dyDescent="0.25">
      <c r="A11" s="14"/>
      <c r="B11" s="10"/>
      <c r="C11" s="10"/>
      <c r="D11" s="13"/>
      <c r="E11" s="242"/>
      <c r="F11" s="242"/>
      <c r="G11" s="242"/>
      <c r="H11" s="242"/>
      <c r="I11" s="242"/>
      <c r="J11" s="242"/>
      <c r="K11" s="242"/>
      <c r="L11" s="242"/>
      <c r="M11" s="242"/>
      <c r="N11" s="242"/>
      <c r="O11" s="242"/>
      <c r="P11" s="242"/>
      <c r="Q11" s="242"/>
      <c r="R11" s="242"/>
      <c r="S11" s="242"/>
      <c r="T11" s="242"/>
    </row>
    <row r="12" spans="1:20" ht="15" customHeight="1" x14ac:dyDescent="0.25">
      <c r="A12" s="14"/>
      <c r="B12" s="10"/>
      <c r="C12" s="10"/>
      <c r="D12" s="13"/>
      <c r="E12" s="242"/>
      <c r="F12" s="242"/>
      <c r="G12" s="242"/>
      <c r="H12" s="242"/>
      <c r="I12" s="242"/>
      <c r="J12" s="242"/>
      <c r="K12" s="242"/>
      <c r="L12" s="242"/>
      <c r="M12" s="242"/>
      <c r="N12" s="242"/>
      <c r="O12" s="242"/>
      <c r="P12" s="242"/>
      <c r="Q12" s="242"/>
      <c r="R12" s="242"/>
      <c r="S12" s="242"/>
      <c r="T12" s="242"/>
    </row>
    <row r="13" spans="1:20" ht="15" customHeight="1" x14ac:dyDescent="0.25">
      <c r="A13" s="14"/>
      <c r="B13" s="10"/>
      <c r="C13" s="10"/>
      <c r="D13" s="13"/>
      <c r="E13" s="242"/>
      <c r="F13" s="242"/>
      <c r="G13" s="242"/>
      <c r="H13" s="242"/>
      <c r="I13" s="242"/>
      <c r="J13" s="242"/>
      <c r="K13" s="242"/>
      <c r="L13" s="242"/>
      <c r="M13" s="242"/>
      <c r="N13" s="242"/>
      <c r="O13" s="242"/>
      <c r="P13" s="242"/>
      <c r="Q13" s="242"/>
      <c r="R13" s="242"/>
      <c r="S13" s="242"/>
      <c r="T13" s="242"/>
    </row>
    <row r="14" spans="1:20" ht="15" customHeight="1" x14ac:dyDescent="0.25">
      <c r="A14" s="14"/>
      <c r="B14" s="10"/>
      <c r="C14" s="10"/>
      <c r="D14" s="13"/>
      <c r="E14" s="242"/>
      <c r="F14" s="242"/>
      <c r="G14" s="242"/>
      <c r="H14" s="242"/>
      <c r="I14" s="242"/>
      <c r="J14" s="242"/>
      <c r="K14" s="242"/>
      <c r="L14" s="242"/>
      <c r="M14" s="242"/>
      <c r="N14" s="242"/>
      <c r="O14" s="242"/>
      <c r="P14" s="242"/>
      <c r="Q14" s="242"/>
      <c r="R14" s="242"/>
      <c r="S14" s="242"/>
      <c r="T14" s="242"/>
    </row>
    <row r="15" spans="1:20" ht="15" customHeight="1" x14ac:dyDescent="0.25">
      <c r="A15" s="14"/>
      <c r="B15" s="10"/>
      <c r="C15" s="10"/>
      <c r="D15" s="13"/>
      <c r="E15" s="242"/>
      <c r="F15" s="242"/>
      <c r="G15" s="242"/>
      <c r="H15" s="242"/>
      <c r="I15" s="242"/>
      <c r="J15" s="242"/>
      <c r="K15" s="242"/>
      <c r="L15" s="242"/>
      <c r="M15" s="242"/>
      <c r="N15" s="242"/>
      <c r="O15" s="242"/>
      <c r="P15" s="242"/>
      <c r="Q15" s="242"/>
      <c r="R15" s="242"/>
      <c r="S15" s="242"/>
      <c r="T15" s="242"/>
    </row>
    <row r="16" spans="1:20" ht="15" customHeight="1" x14ac:dyDescent="0.25">
      <c r="A16" s="14"/>
      <c r="B16" s="10"/>
      <c r="C16" s="10"/>
      <c r="D16" s="13"/>
      <c r="E16" s="242"/>
      <c r="F16" s="242"/>
      <c r="G16" s="242"/>
      <c r="H16" s="242"/>
      <c r="I16" s="242"/>
      <c r="J16" s="242"/>
      <c r="K16" s="242"/>
      <c r="L16" s="242"/>
      <c r="M16" s="242"/>
      <c r="N16" s="242"/>
      <c r="O16" s="242"/>
      <c r="P16" s="242"/>
      <c r="Q16" s="242"/>
      <c r="R16" s="242"/>
      <c r="S16" s="242"/>
      <c r="T16" s="242"/>
    </row>
    <row r="17" spans="1:20" ht="15" customHeight="1" x14ac:dyDescent="0.25">
      <c r="A17" s="14"/>
      <c r="B17" s="10"/>
      <c r="C17" s="10"/>
      <c r="D17" s="13"/>
      <c r="E17" s="242"/>
      <c r="F17" s="242"/>
      <c r="G17" s="242"/>
      <c r="H17" s="242"/>
      <c r="I17" s="242"/>
      <c r="J17" s="242"/>
      <c r="K17" s="242"/>
      <c r="L17" s="242"/>
      <c r="M17" s="242"/>
      <c r="N17" s="242"/>
      <c r="O17" s="242"/>
      <c r="P17" s="242"/>
      <c r="Q17" s="242"/>
      <c r="R17" s="242"/>
      <c r="S17" s="242"/>
      <c r="T17" s="242"/>
    </row>
    <row r="18" spans="1:20" ht="15" customHeight="1" x14ac:dyDescent="0.25">
      <c r="A18" s="14"/>
      <c r="B18" s="10"/>
      <c r="C18" s="10"/>
      <c r="D18" s="13"/>
      <c r="E18" s="242"/>
      <c r="F18" s="242"/>
      <c r="G18" s="242"/>
      <c r="H18" s="242"/>
      <c r="I18" s="242"/>
      <c r="J18" s="242"/>
      <c r="K18" s="242"/>
      <c r="L18" s="242"/>
      <c r="M18" s="242"/>
      <c r="N18" s="242"/>
      <c r="O18" s="242"/>
      <c r="P18" s="242"/>
      <c r="Q18" s="242"/>
      <c r="R18" s="242"/>
      <c r="S18" s="242"/>
      <c r="T18" s="242"/>
    </row>
    <row r="19" spans="1:20" ht="15" customHeight="1" x14ac:dyDescent="0.25">
      <c r="A19" s="14"/>
      <c r="B19" s="10"/>
      <c r="C19" s="10"/>
      <c r="D19" s="13"/>
      <c r="E19" s="242"/>
      <c r="F19" s="242"/>
      <c r="G19" s="242"/>
      <c r="H19" s="242"/>
      <c r="I19" s="242"/>
      <c r="J19" s="242"/>
      <c r="K19" s="242"/>
      <c r="L19" s="242"/>
      <c r="M19" s="242"/>
      <c r="N19" s="242"/>
      <c r="O19" s="242"/>
      <c r="P19" s="242"/>
      <c r="Q19" s="242"/>
      <c r="R19" s="242"/>
      <c r="S19" s="242"/>
      <c r="T19" s="242"/>
    </row>
    <row r="20" spans="1:20" ht="15" customHeight="1" x14ac:dyDescent="0.25">
      <c r="A20" s="14"/>
      <c r="B20" s="10"/>
      <c r="C20" s="10"/>
      <c r="D20" s="13"/>
      <c r="E20" s="242"/>
      <c r="F20" s="242"/>
      <c r="G20" s="242"/>
      <c r="H20" s="242"/>
      <c r="I20" s="242"/>
      <c r="J20" s="242"/>
      <c r="K20" s="242"/>
      <c r="L20" s="242"/>
      <c r="M20" s="242"/>
      <c r="N20" s="242"/>
      <c r="O20" s="242"/>
      <c r="P20" s="242"/>
      <c r="Q20" s="242"/>
      <c r="R20" s="242"/>
      <c r="S20" s="242"/>
      <c r="T20" s="242"/>
    </row>
    <row r="21" spans="1:20" ht="28.5" customHeight="1" x14ac:dyDescent="0.2">
      <c r="A21" s="243"/>
      <c r="B21" s="243"/>
      <c r="C21" s="243"/>
      <c r="D21" s="244"/>
      <c r="E21" s="242"/>
      <c r="F21" s="242"/>
      <c r="G21" s="242"/>
      <c r="H21" s="242"/>
      <c r="I21" s="242"/>
      <c r="J21" s="242"/>
      <c r="K21" s="242"/>
      <c r="L21" s="242"/>
      <c r="M21" s="242"/>
      <c r="N21" s="242"/>
      <c r="O21" s="242"/>
      <c r="P21" s="242"/>
      <c r="Q21" s="242"/>
      <c r="R21" s="242"/>
      <c r="S21" s="242"/>
      <c r="T21" s="242"/>
    </row>
    <row r="22" spans="1:20" ht="15" customHeight="1" x14ac:dyDescent="0.2">
      <c r="A22" s="242"/>
      <c r="B22" s="242"/>
      <c r="C22" s="242"/>
      <c r="D22" s="242"/>
      <c r="E22" s="242"/>
      <c r="F22" s="242"/>
      <c r="G22" s="242"/>
      <c r="H22" s="242"/>
      <c r="I22" s="242"/>
      <c r="J22" s="242"/>
      <c r="K22" s="242"/>
      <c r="L22" s="242"/>
      <c r="M22" s="242"/>
      <c r="N22" s="242"/>
      <c r="O22" s="242"/>
      <c r="P22" s="242"/>
      <c r="Q22" s="242"/>
      <c r="R22" s="242"/>
      <c r="S22" s="242"/>
      <c r="T22" s="242"/>
    </row>
    <row r="23" spans="1:20" ht="15" customHeight="1" x14ac:dyDescent="0.2">
      <c r="A23" s="242"/>
      <c r="B23" s="242"/>
      <c r="C23" s="242"/>
      <c r="D23" s="242"/>
      <c r="E23" s="242"/>
      <c r="F23" s="242"/>
      <c r="G23" s="242"/>
      <c r="H23" s="242"/>
      <c r="I23" s="242"/>
      <c r="J23" s="242"/>
      <c r="K23" s="242"/>
      <c r="L23" s="242"/>
      <c r="M23" s="242"/>
      <c r="N23" s="242"/>
      <c r="O23" s="242"/>
      <c r="P23" s="242"/>
      <c r="Q23" s="242"/>
      <c r="R23" s="242"/>
      <c r="S23" s="242"/>
      <c r="T23" s="242"/>
    </row>
    <row r="24" spans="1:20" ht="15" customHeight="1" x14ac:dyDescent="0.2">
      <c r="A24" s="242"/>
      <c r="B24" s="242"/>
      <c r="C24" s="242"/>
      <c r="D24" s="242"/>
      <c r="E24" s="242"/>
      <c r="F24" s="242"/>
      <c r="G24" s="242"/>
      <c r="H24" s="242"/>
      <c r="I24" s="242"/>
      <c r="J24" s="242"/>
      <c r="K24" s="242"/>
      <c r="L24" s="242"/>
      <c r="M24" s="242"/>
      <c r="N24" s="242"/>
      <c r="O24" s="242"/>
      <c r="P24" s="242"/>
      <c r="Q24" s="242"/>
      <c r="R24" s="242"/>
      <c r="S24" s="242"/>
      <c r="T24" s="242"/>
    </row>
    <row r="25" spans="1:20" ht="15" customHeight="1" x14ac:dyDescent="0.2">
      <c r="A25" s="242"/>
      <c r="B25" s="242"/>
      <c r="C25" s="242"/>
      <c r="D25" s="242"/>
      <c r="E25" s="242"/>
      <c r="F25" s="242"/>
      <c r="G25" s="242"/>
      <c r="H25" s="242"/>
      <c r="I25" s="242"/>
      <c r="J25" s="242"/>
      <c r="K25" s="242"/>
      <c r="L25" s="242"/>
      <c r="M25" s="242"/>
      <c r="N25" s="242"/>
      <c r="O25" s="242"/>
      <c r="P25" s="242"/>
      <c r="Q25" s="242"/>
      <c r="R25" s="242"/>
      <c r="S25" s="242"/>
      <c r="T25" s="242"/>
    </row>
    <row r="26" spans="1:20" ht="15" customHeight="1" x14ac:dyDescent="0.2">
      <c r="A26" s="242"/>
      <c r="B26" s="242"/>
      <c r="C26" s="242"/>
      <c r="D26" s="242"/>
      <c r="E26" s="242"/>
      <c r="F26" s="242"/>
      <c r="G26" s="242"/>
      <c r="H26" s="242"/>
      <c r="I26" s="242"/>
      <c r="J26" s="242"/>
      <c r="K26" s="242"/>
      <c r="L26" s="242"/>
      <c r="M26" s="242"/>
      <c r="N26" s="242"/>
      <c r="O26" s="242"/>
      <c r="P26" s="242"/>
      <c r="Q26" s="242"/>
      <c r="R26" s="242"/>
      <c r="S26" s="242"/>
      <c r="T26" s="242"/>
    </row>
    <row r="27" spans="1:20" ht="15" customHeight="1" x14ac:dyDescent="0.2">
      <c r="A27" s="242"/>
      <c r="B27" s="242"/>
      <c r="C27" s="242"/>
      <c r="D27" s="242"/>
      <c r="E27" s="242"/>
      <c r="F27" s="242"/>
      <c r="G27" s="242"/>
      <c r="H27" s="242"/>
      <c r="I27" s="242"/>
      <c r="J27" s="242"/>
      <c r="K27" s="242"/>
      <c r="L27" s="242"/>
      <c r="M27" s="242"/>
      <c r="N27" s="242"/>
      <c r="O27" s="242"/>
      <c r="P27" s="242"/>
      <c r="Q27" s="242"/>
      <c r="R27" s="242"/>
      <c r="S27" s="242"/>
      <c r="T27" s="242"/>
    </row>
    <row r="28" spans="1:20" ht="15" customHeight="1" x14ac:dyDescent="0.2">
      <c r="A28" s="242"/>
      <c r="B28" s="242"/>
      <c r="C28" s="242"/>
      <c r="D28" s="242"/>
      <c r="E28" s="242"/>
      <c r="F28" s="242"/>
      <c r="G28" s="242"/>
      <c r="H28" s="242"/>
      <c r="I28" s="242"/>
      <c r="J28" s="242"/>
      <c r="K28" s="242"/>
      <c r="L28" s="242"/>
      <c r="M28" s="242"/>
      <c r="N28" s="242"/>
      <c r="O28" s="242"/>
      <c r="P28" s="242"/>
      <c r="Q28" s="242"/>
      <c r="R28" s="242"/>
      <c r="S28" s="242"/>
      <c r="T28" s="242"/>
    </row>
    <row r="29" spans="1:20" ht="15" customHeight="1" x14ac:dyDescent="0.2">
      <c r="A29" s="242"/>
      <c r="B29" s="242"/>
      <c r="C29" s="242"/>
      <c r="D29" s="242"/>
      <c r="E29" s="242"/>
      <c r="F29" s="242"/>
      <c r="G29" s="242"/>
      <c r="H29" s="242"/>
      <c r="I29" s="242"/>
      <c r="J29" s="242"/>
      <c r="K29" s="242"/>
      <c r="L29" s="242"/>
      <c r="M29" s="242"/>
      <c r="N29" s="242"/>
      <c r="O29" s="242"/>
      <c r="P29" s="242"/>
      <c r="Q29" s="242"/>
      <c r="R29" s="242"/>
      <c r="S29" s="242"/>
      <c r="T29" s="242"/>
    </row>
    <row r="30" spans="1:20" ht="15" customHeight="1" x14ac:dyDescent="0.2">
      <c r="A30" s="242"/>
      <c r="B30" s="242"/>
      <c r="C30" s="242"/>
      <c r="D30" s="242"/>
      <c r="E30" s="242"/>
      <c r="F30" s="242"/>
      <c r="G30" s="242"/>
      <c r="H30" s="242"/>
      <c r="I30" s="242"/>
      <c r="J30" s="242"/>
      <c r="K30" s="242"/>
      <c r="L30" s="242"/>
      <c r="M30" s="242"/>
      <c r="N30" s="242"/>
      <c r="O30" s="242"/>
      <c r="P30" s="242"/>
      <c r="Q30" s="242"/>
      <c r="R30" s="242"/>
      <c r="S30" s="242"/>
      <c r="T30" s="242"/>
    </row>
    <row r="31" spans="1:20" ht="15" customHeight="1" x14ac:dyDescent="0.2">
      <c r="A31" s="242"/>
      <c r="B31" s="242"/>
      <c r="C31" s="242"/>
      <c r="D31" s="242"/>
      <c r="E31" s="242"/>
      <c r="F31" s="242"/>
      <c r="G31" s="242"/>
      <c r="H31" s="242"/>
      <c r="I31" s="242"/>
      <c r="J31" s="242"/>
      <c r="K31" s="242"/>
      <c r="L31" s="242"/>
      <c r="M31" s="242"/>
      <c r="N31" s="242"/>
      <c r="O31" s="242"/>
      <c r="P31" s="242"/>
      <c r="Q31" s="242"/>
      <c r="R31" s="242"/>
      <c r="S31" s="242"/>
      <c r="T31" s="242"/>
    </row>
    <row r="32" spans="1:20" ht="15" customHeight="1" x14ac:dyDescent="0.2">
      <c r="A32" s="242"/>
      <c r="B32" s="242"/>
      <c r="C32" s="242"/>
      <c r="D32" s="242"/>
      <c r="E32" s="242"/>
      <c r="F32" s="242"/>
      <c r="G32" s="242"/>
      <c r="H32" s="242"/>
      <c r="I32" s="242"/>
      <c r="J32" s="242"/>
      <c r="K32" s="242"/>
      <c r="L32" s="242"/>
      <c r="M32" s="242"/>
      <c r="N32" s="242"/>
      <c r="O32" s="242"/>
      <c r="P32" s="242"/>
      <c r="Q32" s="242"/>
      <c r="R32" s="242"/>
      <c r="S32" s="242"/>
      <c r="T32" s="242"/>
    </row>
    <row r="33" spans="1:20" ht="15" customHeight="1" x14ac:dyDescent="0.2">
      <c r="A33" s="242"/>
      <c r="B33" s="242"/>
      <c r="C33" s="242"/>
      <c r="D33" s="242"/>
      <c r="E33" s="242"/>
      <c r="F33" s="242"/>
      <c r="G33" s="242"/>
      <c r="H33" s="242"/>
      <c r="I33" s="242"/>
      <c r="J33" s="242"/>
      <c r="K33" s="242"/>
      <c r="L33" s="242"/>
      <c r="M33" s="242"/>
      <c r="N33" s="242"/>
      <c r="O33" s="242"/>
      <c r="P33" s="242"/>
      <c r="Q33" s="242"/>
      <c r="R33" s="242"/>
      <c r="S33" s="242"/>
      <c r="T33" s="242"/>
    </row>
    <row r="34" spans="1:20" ht="15" customHeight="1" x14ac:dyDescent="0.2">
      <c r="A34" s="242"/>
      <c r="B34" s="242"/>
      <c r="C34" s="242"/>
      <c r="D34" s="242"/>
      <c r="E34" s="242"/>
      <c r="F34" s="242"/>
      <c r="G34" s="242"/>
      <c r="H34" s="242"/>
      <c r="I34" s="242"/>
      <c r="J34" s="242"/>
      <c r="K34" s="242"/>
      <c r="L34" s="242"/>
      <c r="M34" s="242"/>
      <c r="N34" s="242"/>
      <c r="O34" s="242"/>
      <c r="P34" s="242"/>
      <c r="Q34" s="242"/>
      <c r="R34" s="242"/>
      <c r="S34" s="242"/>
      <c r="T34" s="242"/>
    </row>
    <row r="35" spans="1:20" ht="15" customHeight="1" x14ac:dyDescent="0.2">
      <c r="A35" s="242"/>
      <c r="B35" s="242"/>
      <c r="C35" s="242"/>
      <c r="D35" s="242"/>
      <c r="E35" s="242"/>
      <c r="F35" s="242"/>
      <c r="G35" s="242"/>
      <c r="H35" s="242"/>
      <c r="I35" s="242"/>
      <c r="J35" s="242"/>
      <c r="K35" s="242"/>
      <c r="L35" s="242"/>
      <c r="M35" s="242"/>
      <c r="N35" s="242"/>
      <c r="O35" s="242"/>
      <c r="P35" s="242"/>
      <c r="Q35" s="242"/>
      <c r="R35" s="242"/>
      <c r="S35" s="242"/>
      <c r="T35" s="242"/>
    </row>
    <row r="36" spans="1:20" ht="15" customHeight="1" x14ac:dyDescent="0.2">
      <c r="A36" s="242"/>
      <c r="B36" s="242"/>
      <c r="C36" s="242"/>
      <c r="D36" s="242"/>
      <c r="E36" s="242"/>
      <c r="F36" s="242"/>
      <c r="G36" s="242"/>
      <c r="H36" s="242"/>
      <c r="I36" s="242"/>
      <c r="J36" s="242"/>
      <c r="K36" s="242"/>
      <c r="L36" s="242"/>
      <c r="M36" s="242"/>
      <c r="N36" s="242"/>
      <c r="O36" s="242"/>
      <c r="P36" s="242"/>
      <c r="Q36" s="242"/>
      <c r="R36" s="242"/>
      <c r="S36" s="242"/>
      <c r="T36" s="242"/>
    </row>
    <row r="37" spans="1:20" ht="15" customHeight="1" x14ac:dyDescent="0.2">
      <c r="A37" s="242"/>
      <c r="B37" s="242"/>
      <c r="C37" s="242"/>
      <c r="D37" s="242"/>
      <c r="E37" s="242"/>
      <c r="F37" s="242"/>
      <c r="G37" s="242"/>
      <c r="H37" s="242"/>
      <c r="I37" s="242"/>
      <c r="J37" s="242"/>
      <c r="K37" s="242"/>
      <c r="L37" s="242"/>
      <c r="M37" s="242"/>
      <c r="N37" s="242"/>
      <c r="O37" s="242"/>
      <c r="P37" s="242"/>
      <c r="Q37" s="242"/>
      <c r="R37" s="242"/>
      <c r="S37" s="242"/>
      <c r="T37" s="242"/>
    </row>
    <row r="38" spans="1:20" ht="15" customHeight="1" x14ac:dyDescent="0.2">
      <c r="A38" s="242"/>
      <c r="B38" s="242"/>
      <c r="C38" s="242"/>
      <c r="D38" s="242"/>
      <c r="E38" s="242"/>
      <c r="F38" s="242"/>
      <c r="G38" s="242"/>
      <c r="H38" s="242"/>
      <c r="I38" s="242"/>
      <c r="J38" s="242"/>
      <c r="K38" s="242"/>
      <c r="L38" s="242"/>
      <c r="M38" s="242"/>
      <c r="N38" s="242"/>
      <c r="O38" s="242"/>
      <c r="P38" s="242"/>
      <c r="Q38" s="242"/>
      <c r="R38" s="242"/>
      <c r="S38" s="242"/>
      <c r="T38" s="242"/>
    </row>
    <row r="39" spans="1:20" ht="15" customHeight="1" x14ac:dyDescent="0.2">
      <c r="A39" s="242"/>
      <c r="B39" s="242"/>
      <c r="C39" s="242"/>
      <c r="D39" s="242"/>
      <c r="E39" s="242"/>
      <c r="F39" s="242"/>
      <c r="G39" s="242"/>
      <c r="H39" s="242"/>
      <c r="I39" s="242"/>
      <c r="J39" s="242"/>
      <c r="K39" s="242"/>
      <c r="L39" s="242"/>
      <c r="M39" s="242"/>
      <c r="N39" s="242"/>
      <c r="O39" s="242"/>
      <c r="P39" s="242"/>
      <c r="Q39" s="242"/>
      <c r="R39" s="242"/>
      <c r="S39" s="242"/>
      <c r="T39" s="242"/>
    </row>
    <row r="40" spans="1:20" ht="15" customHeight="1" x14ac:dyDescent="0.2">
      <c r="A40" s="242"/>
      <c r="B40" s="242"/>
      <c r="C40" s="242"/>
      <c r="D40" s="242"/>
      <c r="E40" s="242"/>
      <c r="F40" s="242"/>
      <c r="G40" s="242"/>
      <c r="H40" s="242"/>
      <c r="I40" s="242"/>
      <c r="J40" s="242"/>
      <c r="K40" s="242"/>
      <c r="L40" s="242"/>
      <c r="M40" s="242"/>
      <c r="N40" s="242"/>
      <c r="O40" s="242"/>
      <c r="P40" s="242"/>
      <c r="Q40" s="242"/>
      <c r="R40" s="242"/>
      <c r="S40" s="242"/>
      <c r="T40" s="242"/>
    </row>
    <row r="41" spans="1:20" ht="15" customHeight="1" x14ac:dyDescent="0.2">
      <c r="A41" s="242"/>
      <c r="B41" s="242"/>
      <c r="C41" s="242"/>
      <c r="D41" s="242"/>
      <c r="E41" s="242"/>
      <c r="F41" s="242"/>
      <c r="G41" s="242"/>
      <c r="H41" s="242"/>
      <c r="I41" s="242"/>
      <c r="J41" s="242"/>
      <c r="K41" s="242"/>
      <c r="L41" s="242"/>
      <c r="M41" s="242"/>
      <c r="N41" s="242"/>
      <c r="O41" s="242"/>
      <c r="P41" s="242"/>
      <c r="Q41" s="242"/>
      <c r="R41" s="242"/>
      <c r="S41" s="242"/>
      <c r="T41" s="242"/>
    </row>
    <row r="42" spans="1:20" ht="15" customHeight="1" x14ac:dyDescent="0.2">
      <c r="A42" s="242"/>
      <c r="B42" s="242"/>
      <c r="C42" s="242"/>
      <c r="D42" s="242"/>
      <c r="E42" s="242"/>
      <c r="F42" s="242"/>
      <c r="G42" s="242"/>
      <c r="H42" s="242"/>
      <c r="I42" s="242"/>
      <c r="J42" s="242"/>
      <c r="K42" s="242"/>
      <c r="L42" s="242"/>
      <c r="M42" s="242"/>
      <c r="N42" s="242"/>
      <c r="O42" s="242"/>
      <c r="P42" s="242"/>
      <c r="Q42" s="242"/>
      <c r="R42" s="242"/>
      <c r="S42" s="242"/>
      <c r="T42" s="242"/>
    </row>
    <row r="43" spans="1:20" ht="15" customHeight="1" x14ac:dyDescent="0.2">
      <c r="A43" s="242"/>
      <c r="B43" s="242"/>
      <c r="C43" s="242"/>
      <c r="D43" s="242"/>
      <c r="E43" s="242"/>
      <c r="F43" s="242"/>
      <c r="G43" s="242"/>
      <c r="H43" s="242"/>
      <c r="I43" s="242"/>
      <c r="J43" s="242"/>
      <c r="K43" s="242"/>
      <c r="L43" s="242"/>
      <c r="M43" s="242"/>
      <c r="N43" s="242"/>
      <c r="O43" s="242"/>
      <c r="P43" s="242"/>
      <c r="Q43" s="242"/>
      <c r="R43" s="242"/>
      <c r="S43" s="242"/>
      <c r="T43" s="242"/>
    </row>
  </sheetData>
  <sheetProtection sheet="1" objects="1" scenarios="1" autoFilter="0"/>
  <autoFilter ref="A1:D20" xr:uid="{00000000-0009-0000-0000-00000B000000}"/>
  <sortState xmlns:xlrd2="http://schemas.microsoft.com/office/spreadsheetml/2017/richdata2" ref="A2:D100000">
    <sortCondition ref="A2:A100000"/>
  </sortState>
  <conditionalFormatting sqref="A2:A21">
    <cfRule type="duplicateValues" dxfId="6" priority="6"/>
  </conditionalFormatting>
  <dataValidations count="3">
    <dataValidation type="list" showInputMessage="1" showErrorMessage="1" errorTitle="TIPO DE MÁQUINA INEXISTENTE!" error="Clique na célula para buscar um Tipo de Máquina existente. Caso não tenha, faça o cadastro em &quot; Máquinas&quot;." sqref="B2:B20" xr:uid="{00000000-0002-0000-0B00-000000000000}">
      <formula1>Máquina</formula1>
    </dataValidation>
    <dataValidation type="list" showInputMessage="1" showErrorMessage="1" errorTitle="TIPO DE APARELHO INEXISTENTE!" error="Clique na célula para buscar um Tipo de Aparelho existente. Caso não tenha, faça o cadastro em &quot; Aparelhos&quot;." sqref="C2:C20" xr:uid="{00000000-0002-0000-0B00-000001000000}">
      <formula1>Aparelho</formula1>
    </dataValidation>
    <dataValidation type="custom" allowBlank="1" showInputMessage="1" showErrorMessage="1" errorTitle="DESCRIÇÃO JÁ CADASTRADA!" error="Clique em &quot;Repetir&quot; e altere a descrição ou Cancele." sqref="A2:A20" xr:uid="{00000000-0002-0000-0B00-000002000000}">
      <formula1>COUNTIF(A:A,A2) = 1</formula1>
    </dataValidation>
  </dataValidations>
  <printOptions horizontalCentered="1"/>
  <pageMargins left="0" right="0" top="0.39370078740157483" bottom="0.39370078740157483" header="0" footer="0"/>
  <pageSetup paperSize="9" fitToHeight="0" orientation="portrait" blackAndWhite="1" verticalDpi="4294967293" r:id="rId1"/>
  <headerFooter>
    <oddHeader>&amp;R&amp;D   Pág. &amp;P / &amp;N</oddHead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Plan7">
    <pageSetUpPr fitToPage="1"/>
  </sheetPr>
  <dimension ref="A1:AB39"/>
  <sheetViews>
    <sheetView zoomScaleNormal="100" workbookViewId="0">
      <pane ySplit="1" topLeftCell="A2" activePane="bottomLeft" state="frozen"/>
      <selection activeCell="B6" sqref="B6"/>
      <selection pane="bottomLeft"/>
    </sheetView>
  </sheetViews>
  <sheetFormatPr defaultRowHeight="15" x14ac:dyDescent="0.25"/>
  <cols>
    <col min="1" max="1" width="17.5703125" style="15" customWidth="1"/>
    <col min="2" max="2" width="33.28515625" style="15" customWidth="1"/>
    <col min="3" max="3" width="13.28515625" style="15" customWidth="1"/>
    <col min="4" max="4" width="11.140625" style="15" customWidth="1"/>
  </cols>
  <sheetData>
    <row r="1" spans="1:28" ht="39" customHeight="1" x14ac:dyDescent="0.25">
      <c r="A1" s="20" t="s">
        <v>25</v>
      </c>
      <c r="B1" s="20" t="s">
        <v>5</v>
      </c>
      <c r="C1" s="65" t="s">
        <v>143</v>
      </c>
      <c r="D1" s="247" t="s">
        <v>130</v>
      </c>
      <c r="E1" s="16"/>
      <c r="F1" s="16"/>
      <c r="G1" s="16"/>
      <c r="H1" s="16"/>
      <c r="I1" s="16"/>
      <c r="J1" s="16"/>
      <c r="K1" s="16"/>
      <c r="L1" s="16"/>
      <c r="M1" s="16"/>
      <c r="N1" s="16"/>
      <c r="O1" s="16"/>
      <c r="P1" s="16"/>
      <c r="Q1" s="16"/>
      <c r="R1" s="16"/>
      <c r="S1" s="16"/>
      <c r="T1" s="16"/>
      <c r="U1" s="16"/>
      <c r="V1" s="16"/>
      <c r="W1" s="16"/>
      <c r="X1" s="16"/>
      <c r="Y1" s="16"/>
      <c r="Z1" s="16"/>
      <c r="AA1" s="16"/>
      <c r="AB1" s="16"/>
    </row>
    <row r="2" spans="1:28" ht="18" customHeight="1" x14ac:dyDescent="0.25">
      <c r="A2" s="18">
        <v>0</v>
      </c>
      <c r="B2" s="34">
        <v>0</v>
      </c>
      <c r="C2" s="66"/>
      <c r="D2" s="291" t="str">
        <f>IF(A2=0,"",IF(ISERROR(VLOOKUP(A2,'BD Seq Op'!E:E,1,FALSE)),"Não","Sim"))</f>
        <v/>
      </c>
      <c r="E2" s="16"/>
      <c r="F2" s="16"/>
      <c r="G2" s="16"/>
      <c r="H2" s="16"/>
      <c r="I2" s="16"/>
      <c r="J2" s="16"/>
      <c r="K2" s="16"/>
      <c r="L2" s="16"/>
      <c r="M2" s="16"/>
      <c r="N2" s="16"/>
      <c r="O2" s="16"/>
      <c r="P2" s="16"/>
      <c r="Q2" s="16"/>
      <c r="R2" s="16"/>
      <c r="S2" s="16"/>
      <c r="T2" s="16"/>
      <c r="U2" s="16"/>
      <c r="V2" s="16"/>
      <c r="W2" s="16"/>
      <c r="X2" s="16"/>
      <c r="Y2" s="16"/>
      <c r="Z2" s="16"/>
      <c r="AA2" s="16"/>
      <c r="AB2" s="16"/>
    </row>
    <row r="3" spans="1:28" ht="18" customHeight="1" x14ac:dyDescent="0.25">
      <c r="A3" s="18"/>
      <c r="B3" s="34"/>
      <c r="C3" s="66"/>
      <c r="D3" s="291" t="str">
        <f>IF(A3=0,"",IF(ISERROR(VLOOKUP(A3,'BD Seq Op'!E:E,1,FALSE)),"Não","Sim"))</f>
        <v/>
      </c>
      <c r="E3" s="16"/>
      <c r="F3" s="16"/>
      <c r="G3" s="16"/>
      <c r="H3" s="16"/>
      <c r="I3" s="16"/>
      <c r="J3" s="16"/>
      <c r="K3" s="16"/>
      <c r="L3" s="16"/>
      <c r="M3" s="16"/>
      <c r="N3" s="16"/>
      <c r="O3" s="16"/>
      <c r="P3" s="16"/>
      <c r="Q3" s="16"/>
      <c r="R3" s="16"/>
      <c r="S3" s="16"/>
      <c r="T3" s="16"/>
      <c r="U3" s="16"/>
      <c r="V3" s="16"/>
      <c r="W3" s="16"/>
      <c r="X3" s="16"/>
      <c r="Y3" s="16"/>
      <c r="Z3" s="16"/>
      <c r="AA3" s="16"/>
      <c r="AB3" s="16"/>
    </row>
    <row r="4" spans="1:28" ht="18" customHeight="1" x14ac:dyDescent="0.25">
      <c r="A4" s="18"/>
      <c r="B4" s="34"/>
      <c r="C4" s="66"/>
      <c r="D4" s="291" t="str">
        <f>IF(A4=0,"",IF(ISERROR(VLOOKUP(A4,'BD Seq Op'!E:E,1,FALSE)),"Não","Sim"))</f>
        <v/>
      </c>
      <c r="E4" s="16"/>
      <c r="F4" s="16"/>
      <c r="G4" s="16"/>
      <c r="H4" s="16"/>
      <c r="I4" s="16"/>
      <c r="J4" s="16"/>
      <c r="K4" s="16"/>
      <c r="L4" s="16"/>
      <c r="M4" s="16"/>
      <c r="N4" s="16"/>
      <c r="O4" s="16"/>
      <c r="P4" s="16"/>
      <c r="Q4" s="16"/>
      <c r="R4" s="16"/>
      <c r="S4" s="16"/>
      <c r="T4" s="16"/>
      <c r="U4" s="16"/>
      <c r="V4" s="16"/>
      <c r="W4" s="16"/>
      <c r="X4" s="16"/>
      <c r="Y4" s="16"/>
      <c r="Z4" s="16"/>
      <c r="AA4" s="16"/>
      <c r="AB4" s="16"/>
    </row>
    <row r="5" spans="1:28" ht="18" customHeight="1" x14ac:dyDescent="0.25">
      <c r="A5" s="18"/>
      <c r="B5" s="34"/>
      <c r="C5" s="66"/>
      <c r="D5" s="291" t="str">
        <f>IF(A5=0,"",IF(ISERROR(VLOOKUP(A5,'BD Seq Op'!E:E,1,FALSE)),"Não","Sim"))</f>
        <v/>
      </c>
      <c r="E5" s="16"/>
      <c r="F5" s="16"/>
      <c r="G5" s="16"/>
      <c r="H5" s="16"/>
      <c r="I5" s="16"/>
      <c r="J5" s="16"/>
      <c r="K5" s="16"/>
      <c r="L5" s="16"/>
      <c r="M5" s="16"/>
      <c r="N5" s="16"/>
      <c r="O5" s="16"/>
      <c r="P5" s="16"/>
      <c r="Q5" s="16"/>
      <c r="R5" s="16"/>
      <c r="S5" s="16"/>
      <c r="T5" s="16"/>
      <c r="U5" s="16"/>
      <c r="V5" s="16"/>
      <c r="W5" s="16"/>
      <c r="X5" s="16"/>
      <c r="Y5" s="16"/>
      <c r="Z5" s="16"/>
      <c r="AA5" s="16"/>
      <c r="AB5" s="16"/>
    </row>
    <row r="6" spans="1:28" ht="18" customHeight="1" x14ac:dyDescent="0.25">
      <c r="A6" s="18"/>
      <c r="B6" s="34"/>
      <c r="C6" s="66"/>
      <c r="D6" s="291" t="str">
        <f>IF(A6=0,"",IF(ISERROR(VLOOKUP(A6,'BD Seq Op'!E:E,1,FALSE)),"Não","Sim"))</f>
        <v/>
      </c>
      <c r="E6" s="16"/>
      <c r="F6" s="16"/>
      <c r="G6" s="16"/>
      <c r="H6" s="16"/>
      <c r="I6" s="16"/>
      <c r="J6" s="16"/>
      <c r="K6" s="16"/>
      <c r="L6" s="16"/>
      <c r="M6" s="16"/>
      <c r="N6" s="16"/>
      <c r="O6" s="16"/>
      <c r="P6" s="16"/>
      <c r="Q6" s="16"/>
      <c r="R6" s="16"/>
      <c r="S6" s="16"/>
      <c r="T6" s="16"/>
      <c r="U6" s="16"/>
      <c r="V6" s="16"/>
      <c r="W6" s="16"/>
      <c r="X6" s="16"/>
      <c r="Y6" s="16"/>
      <c r="Z6" s="16"/>
      <c r="AA6" s="16"/>
      <c r="AB6" s="16"/>
    </row>
    <row r="7" spans="1:28" ht="18" customHeight="1" x14ac:dyDescent="0.25">
      <c r="A7" s="18"/>
      <c r="B7" s="34"/>
      <c r="C7" s="66"/>
      <c r="D7" s="291" t="str">
        <f>IF(A7=0,"",IF(ISERROR(VLOOKUP(A7,'BD Seq Op'!E:E,1,FALSE)),"Não","Sim"))</f>
        <v/>
      </c>
      <c r="E7" s="16"/>
      <c r="F7" s="16"/>
      <c r="G7" s="16"/>
      <c r="H7" s="16"/>
      <c r="I7" s="16"/>
      <c r="J7" s="16"/>
      <c r="K7" s="16"/>
      <c r="L7" s="16"/>
      <c r="M7" s="16"/>
      <c r="N7" s="16"/>
      <c r="O7" s="16"/>
      <c r="P7" s="16"/>
      <c r="Q7" s="16"/>
      <c r="R7" s="16"/>
      <c r="S7" s="16"/>
      <c r="T7" s="16"/>
      <c r="U7" s="16"/>
      <c r="V7" s="16"/>
      <c r="W7" s="16"/>
      <c r="X7" s="16"/>
      <c r="Y7" s="16"/>
      <c r="Z7" s="16"/>
      <c r="AA7" s="16"/>
      <c r="AB7" s="16"/>
    </row>
    <row r="8" spans="1:28" ht="18" customHeight="1" x14ac:dyDescent="0.25">
      <c r="A8" s="18"/>
      <c r="B8" s="34"/>
      <c r="C8" s="66"/>
      <c r="D8" s="291" t="str">
        <f>IF(A8=0,"",IF(ISERROR(VLOOKUP(A8,'BD Seq Op'!E:E,1,FALSE)),"Não","Sim"))</f>
        <v/>
      </c>
      <c r="E8" s="16"/>
      <c r="F8" s="16"/>
      <c r="G8" s="16"/>
      <c r="H8" s="16"/>
      <c r="I8" s="16"/>
      <c r="J8" s="16"/>
      <c r="K8" s="16"/>
      <c r="L8" s="16"/>
      <c r="M8" s="16"/>
      <c r="N8" s="16"/>
      <c r="O8" s="16"/>
      <c r="P8" s="16"/>
      <c r="Q8" s="16"/>
      <c r="R8" s="16"/>
      <c r="S8" s="16"/>
      <c r="T8" s="16"/>
      <c r="U8" s="16"/>
      <c r="V8" s="16"/>
      <c r="W8" s="16"/>
      <c r="X8" s="16"/>
      <c r="Y8" s="16"/>
      <c r="Z8" s="16"/>
      <c r="AA8" s="16"/>
      <c r="AB8" s="16"/>
    </row>
    <row r="9" spans="1:28" ht="18" customHeight="1" x14ac:dyDescent="0.25">
      <c r="A9" s="18"/>
      <c r="B9" s="34"/>
      <c r="C9" s="66"/>
      <c r="D9" s="291" t="str">
        <f>IF(A9=0,"",IF(ISERROR(VLOOKUP(A9,'BD Seq Op'!E:E,1,FALSE)),"Não","Sim"))</f>
        <v/>
      </c>
      <c r="E9" s="16"/>
      <c r="F9" s="16"/>
      <c r="G9" s="16"/>
      <c r="H9" s="16"/>
      <c r="I9" s="16"/>
      <c r="J9" s="16"/>
      <c r="K9" s="16"/>
      <c r="L9" s="16"/>
      <c r="M9" s="16"/>
      <c r="N9" s="16"/>
      <c r="O9" s="16"/>
      <c r="P9" s="16"/>
      <c r="Q9" s="16"/>
      <c r="R9" s="16"/>
      <c r="S9" s="16"/>
      <c r="T9" s="16"/>
      <c r="U9" s="16"/>
      <c r="V9" s="16"/>
      <c r="W9" s="16"/>
      <c r="X9" s="16"/>
      <c r="Y9" s="16"/>
      <c r="Z9" s="16"/>
      <c r="AA9" s="16"/>
      <c r="AB9" s="16"/>
    </row>
    <row r="10" spans="1:28" ht="18" customHeight="1" x14ac:dyDescent="0.25">
      <c r="A10" s="18"/>
      <c r="B10" s="34"/>
      <c r="C10" s="66"/>
      <c r="D10" s="291" t="str">
        <f>IF(A10=0,"",IF(ISERROR(VLOOKUP(A10,'BD Seq Op'!E:E,1,FALSE)),"Não","Sim"))</f>
        <v/>
      </c>
      <c r="E10" s="16"/>
      <c r="F10" s="16"/>
      <c r="G10" s="16"/>
      <c r="H10" s="16"/>
      <c r="I10" s="16"/>
      <c r="J10" s="16"/>
      <c r="K10" s="16"/>
      <c r="L10" s="16"/>
      <c r="M10" s="16"/>
      <c r="N10" s="16"/>
      <c r="O10" s="16"/>
      <c r="P10" s="16"/>
      <c r="Q10" s="16"/>
      <c r="R10" s="16"/>
      <c r="S10" s="16"/>
      <c r="T10" s="16"/>
      <c r="U10" s="16"/>
      <c r="V10" s="16"/>
      <c r="W10" s="16"/>
      <c r="X10" s="16"/>
      <c r="Y10" s="16"/>
      <c r="Z10" s="16"/>
      <c r="AA10" s="16"/>
      <c r="AB10" s="16"/>
    </row>
    <row r="11" spans="1:28" ht="18" customHeight="1" x14ac:dyDescent="0.25">
      <c r="A11" s="18"/>
      <c r="B11" s="34"/>
      <c r="C11" s="66"/>
      <c r="D11" s="291" t="str">
        <f>IF(A11=0,"",IF(ISERROR(VLOOKUP(A11,'BD Seq Op'!E:E,1,FALSE)),"Não","Sim"))</f>
        <v/>
      </c>
      <c r="E11" s="16"/>
      <c r="F11" s="16"/>
      <c r="G11" s="16"/>
      <c r="H11" s="16"/>
      <c r="I11" s="16"/>
      <c r="J11" s="16"/>
      <c r="K11" s="16"/>
      <c r="L11" s="16"/>
      <c r="M11" s="16"/>
      <c r="N11" s="16"/>
      <c r="O11" s="16"/>
      <c r="P11" s="16"/>
      <c r="Q11" s="16"/>
      <c r="R11" s="16"/>
      <c r="S11" s="16"/>
      <c r="T11" s="16"/>
      <c r="U11" s="16"/>
      <c r="V11" s="16"/>
      <c r="W11" s="16"/>
      <c r="X11" s="16"/>
      <c r="Y11" s="16"/>
      <c r="Z11" s="16"/>
      <c r="AA11" s="16"/>
      <c r="AB11" s="16"/>
    </row>
    <row r="12" spans="1:28" ht="29.1" customHeight="1" x14ac:dyDescent="0.25">
      <c r="A12" s="25"/>
      <c r="B12" s="25"/>
      <c r="C12" s="25"/>
      <c r="D12" s="277"/>
      <c r="E12" s="16"/>
      <c r="F12" s="16"/>
      <c r="G12" s="16"/>
      <c r="H12" s="16"/>
      <c r="I12" s="16"/>
      <c r="J12" s="16"/>
      <c r="K12" s="16"/>
      <c r="L12" s="16"/>
      <c r="M12" s="16"/>
      <c r="N12" s="16"/>
      <c r="O12" s="16"/>
      <c r="P12" s="16"/>
      <c r="Q12" s="16"/>
      <c r="R12" s="16"/>
      <c r="S12" s="16"/>
      <c r="T12" s="16"/>
      <c r="U12" s="16"/>
      <c r="V12" s="16"/>
      <c r="W12" s="16"/>
      <c r="X12" s="16"/>
      <c r="Y12" s="16"/>
      <c r="Z12" s="16"/>
      <c r="AA12" s="16"/>
      <c r="AB12" s="16"/>
    </row>
    <row r="13" spans="1:28" x14ac:dyDescent="0.25">
      <c r="A13" s="17"/>
      <c r="B13" s="17"/>
      <c r="C13" s="17"/>
      <c r="D13" s="17"/>
      <c r="E13" s="16"/>
      <c r="F13" s="16"/>
      <c r="G13" s="16"/>
      <c r="H13" s="16"/>
      <c r="I13" s="16"/>
      <c r="J13" s="16"/>
      <c r="K13" s="16"/>
      <c r="L13" s="16"/>
      <c r="M13" s="16"/>
      <c r="N13" s="16"/>
      <c r="O13" s="16"/>
      <c r="P13" s="16"/>
      <c r="Q13" s="16"/>
      <c r="R13" s="16"/>
      <c r="S13" s="16"/>
      <c r="T13" s="16"/>
      <c r="U13" s="16"/>
      <c r="V13" s="16"/>
      <c r="W13" s="16"/>
      <c r="X13" s="16"/>
      <c r="Y13" s="16"/>
      <c r="Z13" s="16"/>
      <c r="AA13" s="16"/>
      <c r="AB13" s="16"/>
    </row>
    <row r="14" spans="1:28" x14ac:dyDescent="0.25">
      <c r="A14" s="17"/>
      <c r="B14" s="17"/>
      <c r="C14" s="17"/>
      <c r="D14" s="17"/>
      <c r="E14" s="16"/>
      <c r="F14" s="16"/>
      <c r="G14" s="16"/>
      <c r="H14" s="16"/>
      <c r="I14" s="16"/>
      <c r="J14" s="16"/>
      <c r="K14" s="16"/>
      <c r="L14" s="16"/>
      <c r="M14" s="16"/>
      <c r="N14" s="16"/>
      <c r="O14" s="16"/>
      <c r="P14" s="16"/>
      <c r="Q14" s="16"/>
      <c r="R14" s="16"/>
      <c r="S14" s="16"/>
      <c r="T14" s="16"/>
      <c r="U14" s="16"/>
      <c r="V14" s="16"/>
      <c r="W14" s="16"/>
      <c r="X14" s="16"/>
      <c r="Y14" s="16"/>
      <c r="Z14" s="16"/>
      <c r="AA14" s="16"/>
      <c r="AB14" s="16"/>
    </row>
    <row r="15" spans="1:28" x14ac:dyDescent="0.25">
      <c r="A15" s="17"/>
      <c r="B15" s="17"/>
      <c r="C15" s="17"/>
      <c r="D15" s="17"/>
      <c r="E15" s="16"/>
      <c r="F15" s="16"/>
      <c r="G15" s="16"/>
      <c r="H15" s="16"/>
      <c r="I15" s="16"/>
      <c r="J15" s="16"/>
      <c r="K15" s="16"/>
      <c r="L15" s="16"/>
      <c r="M15" s="16"/>
      <c r="N15" s="16"/>
      <c r="O15" s="16"/>
      <c r="P15" s="16"/>
      <c r="Q15" s="16"/>
      <c r="R15" s="16"/>
      <c r="S15" s="16"/>
      <c r="T15" s="16"/>
      <c r="U15" s="16"/>
      <c r="V15" s="16"/>
      <c r="W15" s="16"/>
      <c r="X15" s="16"/>
      <c r="Y15" s="16"/>
      <c r="Z15" s="16"/>
      <c r="AA15" s="16"/>
      <c r="AB15" s="16"/>
    </row>
    <row r="16" spans="1:28" x14ac:dyDescent="0.25">
      <c r="A16" s="17"/>
      <c r="B16" s="17"/>
      <c r="C16" s="17"/>
      <c r="D16" s="17"/>
      <c r="E16" s="16"/>
      <c r="F16" s="16"/>
      <c r="G16" s="16"/>
      <c r="H16" s="16"/>
      <c r="I16" s="16"/>
      <c r="J16" s="16"/>
      <c r="K16" s="16"/>
      <c r="L16" s="16"/>
      <c r="M16" s="16"/>
      <c r="N16" s="16"/>
      <c r="O16" s="16"/>
      <c r="P16" s="16"/>
      <c r="Q16" s="16"/>
      <c r="R16" s="16"/>
      <c r="S16" s="16"/>
      <c r="T16" s="16"/>
      <c r="U16" s="16"/>
      <c r="V16" s="16"/>
      <c r="W16" s="16"/>
      <c r="X16" s="16"/>
      <c r="Y16" s="16"/>
      <c r="Z16" s="16"/>
      <c r="AA16" s="16"/>
      <c r="AB16" s="16"/>
    </row>
    <row r="17" spans="1:28" x14ac:dyDescent="0.25">
      <c r="A17" s="17"/>
      <c r="B17" s="17"/>
      <c r="C17" s="17"/>
      <c r="D17" s="17"/>
      <c r="E17" s="16"/>
      <c r="F17" s="16"/>
      <c r="G17" s="16"/>
      <c r="H17" s="16"/>
      <c r="I17" s="16"/>
      <c r="J17" s="16"/>
      <c r="K17" s="16"/>
      <c r="L17" s="16"/>
      <c r="M17" s="16"/>
      <c r="N17" s="16"/>
      <c r="O17" s="16"/>
      <c r="P17" s="16"/>
      <c r="Q17" s="16"/>
      <c r="R17" s="16"/>
      <c r="S17" s="16"/>
      <c r="T17" s="16"/>
      <c r="U17" s="16"/>
      <c r="V17" s="16"/>
      <c r="W17" s="16"/>
      <c r="X17" s="16"/>
      <c r="Y17" s="16"/>
      <c r="Z17" s="16"/>
      <c r="AA17" s="16"/>
      <c r="AB17" s="16"/>
    </row>
    <row r="18" spans="1:28" x14ac:dyDescent="0.25">
      <c r="A18" s="17"/>
      <c r="B18" s="17"/>
      <c r="C18" s="17"/>
      <c r="D18" s="17"/>
      <c r="E18" s="16"/>
      <c r="F18" s="16"/>
      <c r="G18" s="16"/>
      <c r="H18" s="16"/>
      <c r="I18" s="16"/>
      <c r="J18" s="16"/>
      <c r="K18" s="16"/>
      <c r="L18" s="16"/>
      <c r="M18" s="16"/>
      <c r="N18" s="16"/>
      <c r="O18" s="16"/>
      <c r="P18" s="16"/>
      <c r="Q18" s="16"/>
      <c r="R18" s="16"/>
      <c r="S18" s="16"/>
      <c r="T18" s="16"/>
      <c r="U18" s="16"/>
      <c r="V18" s="16"/>
      <c r="W18" s="16"/>
      <c r="X18" s="16"/>
      <c r="Y18" s="16"/>
      <c r="Z18" s="16"/>
      <c r="AA18" s="16"/>
      <c r="AB18" s="16"/>
    </row>
    <row r="19" spans="1:28" x14ac:dyDescent="0.25">
      <c r="A19" s="17"/>
      <c r="B19" s="17"/>
      <c r="C19" s="17"/>
      <c r="D19" s="17"/>
      <c r="E19" s="16"/>
      <c r="F19" s="16"/>
      <c r="G19" s="16"/>
      <c r="H19" s="16"/>
      <c r="I19" s="16"/>
      <c r="J19" s="16"/>
      <c r="K19" s="16"/>
      <c r="L19" s="16"/>
      <c r="M19" s="16"/>
      <c r="N19" s="16"/>
      <c r="O19" s="16"/>
      <c r="P19" s="16"/>
      <c r="Q19" s="16"/>
      <c r="R19" s="16"/>
      <c r="S19" s="16"/>
      <c r="T19" s="16"/>
      <c r="U19" s="16"/>
      <c r="V19" s="16"/>
      <c r="W19" s="16"/>
      <c r="X19" s="16"/>
      <c r="Y19" s="16"/>
      <c r="Z19" s="16"/>
      <c r="AA19" s="16"/>
      <c r="AB19" s="16"/>
    </row>
    <row r="20" spans="1:28" x14ac:dyDescent="0.25">
      <c r="A20" s="17"/>
      <c r="B20" s="17"/>
      <c r="C20" s="17"/>
      <c r="D20" s="17"/>
      <c r="E20" s="16"/>
      <c r="F20" s="16"/>
      <c r="G20" s="16"/>
      <c r="H20" s="16"/>
      <c r="I20" s="16"/>
      <c r="J20" s="16"/>
      <c r="K20" s="16"/>
      <c r="L20" s="16"/>
      <c r="M20" s="16"/>
      <c r="N20" s="16"/>
      <c r="O20" s="16"/>
      <c r="P20" s="16"/>
      <c r="Q20" s="16"/>
      <c r="R20" s="16"/>
      <c r="S20" s="16"/>
      <c r="T20" s="16"/>
      <c r="U20" s="16"/>
      <c r="V20" s="16"/>
      <c r="W20" s="16"/>
      <c r="X20" s="16"/>
      <c r="Y20" s="16"/>
      <c r="Z20" s="16"/>
      <c r="AA20" s="16"/>
      <c r="AB20" s="16"/>
    </row>
    <row r="21" spans="1:28" x14ac:dyDescent="0.25">
      <c r="A21" s="17"/>
      <c r="B21" s="17"/>
      <c r="C21" s="17"/>
      <c r="D21" s="17"/>
      <c r="E21" s="16"/>
      <c r="F21" s="16"/>
      <c r="G21" s="16"/>
      <c r="H21" s="16"/>
      <c r="I21" s="16"/>
      <c r="J21" s="16"/>
      <c r="K21" s="16"/>
      <c r="L21" s="16"/>
      <c r="M21" s="16"/>
      <c r="N21" s="16"/>
      <c r="O21" s="16"/>
      <c r="P21" s="16"/>
      <c r="Q21" s="16"/>
      <c r="R21" s="16"/>
      <c r="S21" s="16"/>
      <c r="T21" s="16"/>
      <c r="U21" s="16"/>
      <c r="V21" s="16"/>
      <c r="W21" s="16"/>
      <c r="X21" s="16"/>
      <c r="Y21" s="16"/>
      <c r="Z21" s="16"/>
      <c r="AA21" s="16"/>
      <c r="AB21" s="16"/>
    </row>
    <row r="22" spans="1:28" x14ac:dyDescent="0.25">
      <c r="A22" s="17"/>
      <c r="B22" s="17"/>
      <c r="C22" s="17"/>
      <c r="D22" s="17"/>
      <c r="E22" s="16"/>
      <c r="F22" s="16"/>
      <c r="G22" s="16"/>
      <c r="H22" s="16"/>
      <c r="I22" s="16"/>
      <c r="J22" s="16"/>
      <c r="K22" s="16"/>
      <c r="L22" s="16"/>
      <c r="M22" s="16"/>
      <c r="N22" s="16"/>
      <c r="O22" s="16"/>
      <c r="P22" s="16"/>
      <c r="Q22" s="16"/>
      <c r="R22" s="16"/>
      <c r="S22" s="16"/>
      <c r="T22" s="16"/>
      <c r="U22" s="16"/>
      <c r="V22" s="16"/>
      <c r="W22" s="16"/>
      <c r="X22" s="16"/>
      <c r="Y22" s="16"/>
      <c r="Z22" s="16"/>
      <c r="AA22" s="16"/>
      <c r="AB22" s="16"/>
    </row>
    <row r="23" spans="1:28" x14ac:dyDescent="0.25">
      <c r="A23" s="17"/>
      <c r="B23" s="17"/>
      <c r="C23" s="17"/>
      <c r="D23" s="17"/>
      <c r="E23" s="16"/>
      <c r="F23" s="16"/>
      <c r="G23" s="16"/>
      <c r="H23" s="16"/>
      <c r="I23" s="16"/>
      <c r="J23" s="16"/>
      <c r="K23" s="16"/>
      <c r="L23" s="16"/>
      <c r="M23" s="16"/>
      <c r="N23" s="16"/>
      <c r="O23" s="16"/>
      <c r="P23" s="16"/>
      <c r="Q23" s="16"/>
      <c r="R23" s="16"/>
      <c r="S23" s="16"/>
      <c r="T23" s="16"/>
      <c r="U23" s="16"/>
      <c r="V23" s="16"/>
      <c r="W23" s="16"/>
      <c r="X23" s="16"/>
      <c r="Y23" s="16"/>
      <c r="Z23" s="16"/>
      <c r="AA23" s="16"/>
      <c r="AB23" s="16"/>
    </row>
    <row r="24" spans="1:28" x14ac:dyDescent="0.25">
      <c r="A24" s="17"/>
      <c r="B24" s="17"/>
      <c r="C24" s="17"/>
      <c r="D24" s="17"/>
      <c r="E24" s="16"/>
      <c r="F24" s="16"/>
      <c r="G24" s="16"/>
      <c r="H24" s="16"/>
      <c r="I24" s="16"/>
      <c r="J24" s="16"/>
      <c r="K24" s="16"/>
      <c r="L24" s="16"/>
      <c r="M24" s="16"/>
      <c r="N24" s="16"/>
      <c r="O24" s="16"/>
      <c r="P24" s="16"/>
      <c r="Q24" s="16"/>
      <c r="R24" s="16"/>
      <c r="S24" s="16"/>
      <c r="T24" s="16"/>
      <c r="U24" s="16"/>
      <c r="V24" s="16"/>
      <c r="W24" s="16"/>
      <c r="X24" s="16"/>
      <c r="Y24" s="16"/>
      <c r="Z24" s="16"/>
      <c r="AA24" s="16"/>
      <c r="AB24" s="16"/>
    </row>
    <row r="25" spans="1:28" x14ac:dyDescent="0.25">
      <c r="A25" s="17"/>
      <c r="B25" s="17"/>
      <c r="C25" s="17"/>
      <c r="D25" s="17"/>
      <c r="E25" s="16"/>
      <c r="F25" s="16"/>
      <c r="G25" s="16"/>
      <c r="H25" s="16"/>
      <c r="I25" s="16"/>
      <c r="J25" s="16"/>
      <c r="K25" s="16"/>
      <c r="L25" s="16"/>
      <c r="M25" s="16"/>
      <c r="N25" s="16"/>
      <c r="O25" s="16"/>
      <c r="P25" s="16"/>
      <c r="Q25" s="16"/>
      <c r="R25" s="16"/>
      <c r="S25" s="16"/>
      <c r="T25" s="16"/>
      <c r="U25" s="16"/>
      <c r="V25" s="16"/>
      <c r="W25" s="16"/>
      <c r="X25" s="16"/>
      <c r="Y25" s="16"/>
      <c r="Z25" s="16"/>
      <c r="AA25" s="16"/>
      <c r="AB25" s="16"/>
    </row>
    <row r="26" spans="1:28" x14ac:dyDescent="0.25">
      <c r="A26" s="17"/>
      <c r="B26" s="17"/>
      <c r="C26" s="17"/>
      <c r="D26" s="17"/>
      <c r="E26" s="16"/>
      <c r="F26" s="16"/>
      <c r="G26" s="16"/>
      <c r="H26" s="16"/>
      <c r="I26" s="16"/>
      <c r="J26" s="16"/>
      <c r="K26" s="16"/>
      <c r="L26" s="16"/>
      <c r="M26" s="16"/>
      <c r="N26" s="16"/>
      <c r="O26" s="16"/>
      <c r="P26" s="16"/>
      <c r="Q26" s="16"/>
      <c r="R26" s="16"/>
      <c r="S26" s="16"/>
      <c r="T26" s="16"/>
      <c r="U26" s="16"/>
      <c r="V26" s="16"/>
      <c r="W26" s="16"/>
      <c r="X26" s="16"/>
      <c r="Y26" s="16"/>
      <c r="Z26" s="16"/>
      <c r="AA26" s="16"/>
      <c r="AB26" s="16"/>
    </row>
    <row r="27" spans="1:28" x14ac:dyDescent="0.25">
      <c r="A27" s="17"/>
      <c r="B27" s="17"/>
      <c r="C27" s="17"/>
      <c r="D27" s="17"/>
      <c r="E27" s="16"/>
      <c r="F27" s="16"/>
      <c r="G27" s="16"/>
      <c r="H27" s="16"/>
      <c r="I27" s="16"/>
      <c r="J27" s="16"/>
      <c r="K27" s="16"/>
      <c r="L27" s="16"/>
      <c r="M27" s="16"/>
      <c r="N27" s="16"/>
      <c r="O27" s="16"/>
      <c r="P27" s="16"/>
      <c r="Q27" s="16"/>
      <c r="R27" s="16"/>
      <c r="S27" s="16"/>
      <c r="T27" s="16"/>
      <c r="U27" s="16"/>
      <c r="V27" s="16"/>
      <c r="W27" s="16"/>
      <c r="X27" s="16"/>
      <c r="Y27" s="16"/>
      <c r="Z27" s="16"/>
      <c r="AA27" s="16"/>
      <c r="AB27" s="16"/>
    </row>
    <row r="28" spans="1:28" x14ac:dyDescent="0.25">
      <c r="A28" s="17"/>
      <c r="B28" s="17"/>
      <c r="C28" s="17"/>
      <c r="D28" s="17"/>
      <c r="E28" s="16"/>
      <c r="F28" s="16"/>
      <c r="G28" s="16"/>
      <c r="H28" s="16"/>
      <c r="I28" s="16"/>
      <c r="J28" s="16"/>
      <c r="K28" s="16"/>
      <c r="L28" s="16"/>
      <c r="M28" s="16"/>
      <c r="N28" s="16"/>
      <c r="O28" s="16"/>
      <c r="P28" s="16"/>
      <c r="Q28" s="16"/>
      <c r="R28" s="16"/>
      <c r="S28" s="16"/>
      <c r="T28" s="16"/>
      <c r="U28" s="16"/>
      <c r="V28" s="16"/>
      <c r="W28" s="16"/>
      <c r="X28" s="16"/>
      <c r="Y28" s="16"/>
      <c r="Z28" s="16"/>
      <c r="AA28" s="16"/>
      <c r="AB28" s="16"/>
    </row>
    <row r="29" spans="1:28" x14ac:dyDescent="0.25">
      <c r="A29" s="17"/>
      <c r="B29" s="17"/>
      <c r="C29" s="17"/>
      <c r="D29" s="17"/>
      <c r="E29" s="16"/>
      <c r="F29" s="16"/>
      <c r="G29" s="16"/>
      <c r="H29" s="16"/>
      <c r="I29" s="16"/>
      <c r="J29" s="16"/>
      <c r="K29" s="16"/>
      <c r="L29" s="16"/>
      <c r="M29" s="16"/>
      <c r="N29" s="16"/>
      <c r="O29" s="16"/>
      <c r="P29" s="16"/>
      <c r="Q29" s="16"/>
      <c r="R29" s="16"/>
      <c r="S29" s="16"/>
      <c r="T29" s="16"/>
      <c r="U29" s="16"/>
      <c r="V29" s="16"/>
      <c r="W29" s="16"/>
      <c r="X29" s="16"/>
      <c r="Y29" s="16"/>
      <c r="Z29" s="16"/>
      <c r="AA29" s="16"/>
      <c r="AB29" s="16"/>
    </row>
    <row r="30" spans="1:28" x14ac:dyDescent="0.25">
      <c r="A30" s="17"/>
      <c r="B30" s="17"/>
      <c r="C30" s="17"/>
      <c r="D30" s="17"/>
      <c r="E30" s="16"/>
      <c r="F30" s="16"/>
      <c r="G30" s="16"/>
      <c r="H30" s="16"/>
      <c r="I30" s="16"/>
      <c r="J30" s="16"/>
      <c r="K30" s="16"/>
      <c r="L30" s="16"/>
      <c r="M30" s="16"/>
      <c r="N30" s="16"/>
      <c r="O30" s="16"/>
      <c r="P30" s="16"/>
      <c r="Q30" s="16"/>
      <c r="R30" s="16"/>
      <c r="S30" s="16"/>
      <c r="T30" s="16"/>
      <c r="U30" s="16"/>
      <c r="V30" s="16"/>
      <c r="W30" s="16"/>
      <c r="X30" s="16"/>
      <c r="Y30" s="16"/>
      <c r="Z30" s="16"/>
      <c r="AA30" s="16"/>
      <c r="AB30" s="16"/>
    </row>
    <row r="31" spans="1:28" x14ac:dyDescent="0.25">
      <c r="A31" s="17"/>
      <c r="B31" s="17"/>
      <c r="C31" s="17"/>
      <c r="D31" s="17"/>
      <c r="E31" s="16"/>
      <c r="F31" s="16"/>
      <c r="G31" s="16"/>
      <c r="H31" s="16"/>
      <c r="I31" s="16"/>
      <c r="J31" s="16"/>
      <c r="K31" s="16"/>
      <c r="L31" s="16"/>
      <c r="M31" s="16"/>
      <c r="N31" s="16"/>
      <c r="O31" s="16"/>
      <c r="P31" s="16"/>
      <c r="Q31" s="16"/>
      <c r="R31" s="16"/>
      <c r="S31" s="16"/>
      <c r="T31" s="16"/>
      <c r="U31" s="16"/>
      <c r="V31" s="16"/>
      <c r="W31" s="16"/>
      <c r="X31" s="16"/>
      <c r="Y31" s="16"/>
      <c r="Z31" s="16"/>
      <c r="AA31" s="16"/>
      <c r="AB31" s="16"/>
    </row>
    <row r="32" spans="1:28" x14ac:dyDescent="0.25">
      <c r="A32" s="17"/>
      <c r="B32" s="17"/>
      <c r="C32" s="17"/>
      <c r="D32" s="17"/>
      <c r="E32" s="16"/>
      <c r="F32" s="16"/>
      <c r="G32" s="16"/>
      <c r="H32" s="16"/>
      <c r="I32" s="16"/>
      <c r="J32" s="16"/>
      <c r="K32" s="16"/>
      <c r="L32" s="16"/>
      <c r="M32" s="16"/>
      <c r="N32" s="16"/>
      <c r="O32" s="16"/>
      <c r="P32" s="16"/>
      <c r="Q32" s="16"/>
      <c r="R32" s="16"/>
      <c r="S32" s="16"/>
      <c r="T32" s="16"/>
      <c r="U32" s="16"/>
      <c r="V32" s="16"/>
      <c r="W32" s="16"/>
      <c r="X32" s="16"/>
      <c r="Y32" s="16"/>
      <c r="Z32" s="16"/>
      <c r="AA32" s="16"/>
      <c r="AB32" s="16"/>
    </row>
    <row r="33" spans="1:28" x14ac:dyDescent="0.25">
      <c r="A33" s="17"/>
      <c r="B33" s="17"/>
      <c r="C33" s="17"/>
      <c r="D33" s="17"/>
      <c r="E33" s="16"/>
      <c r="F33" s="16"/>
      <c r="G33" s="16"/>
      <c r="H33" s="16"/>
      <c r="I33" s="16"/>
      <c r="J33" s="16"/>
      <c r="K33" s="16"/>
      <c r="L33" s="16"/>
      <c r="M33" s="16"/>
      <c r="N33" s="16"/>
      <c r="O33" s="16"/>
      <c r="P33" s="16"/>
      <c r="Q33" s="16"/>
      <c r="R33" s="16"/>
      <c r="S33" s="16"/>
      <c r="T33" s="16"/>
      <c r="U33" s="16"/>
      <c r="V33" s="16"/>
      <c r="W33" s="16"/>
      <c r="X33" s="16"/>
      <c r="Y33" s="16"/>
      <c r="Z33" s="16"/>
      <c r="AA33" s="16"/>
      <c r="AB33" s="16"/>
    </row>
    <row r="34" spans="1:28" x14ac:dyDescent="0.25">
      <c r="A34" s="17"/>
      <c r="B34" s="17"/>
      <c r="C34" s="17"/>
      <c r="D34" s="17"/>
      <c r="E34" s="16"/>
      <c r="F34" s="16"/>
      <c r="G34" s="16"/>
      <c r="H34" s="16"/>
      <c r="I34" s="16"/>
      <c r="J34" s="16"/>
      <c r="K34" s="16"/>
      <c r="L34" s="16"/>
      <c r="M34" s="16"/>
      <c r="N34" s="16"/>
      <c r="O34" s="16"/>
      <c r="P34" s="16"/>
      <c r="Q34" s="16"/>
      <c r="R34" s="16"/>
      <c r="S34" s="16"/>
      <c r="T34" s="16"/>
      <c r="U34" s="16"/>
      <c r="V34" s="16"/>
      <c r="W34" s="16"/>
      <c r="X34" s="16"/>
      <c r="Y34" s="16"/>
      <c r="Z34" s="16"/>
      <c r="AA34" s="16"/>
      <c r="AB34" s="16"/>
    </row>
    <row r="35" spans="1:28" x14ac:dyDescent="0.25">
      <c r="A35" s="17"/>
      <c r="B35" s="17"/>
      <c r="C35" s="17"/>
      <c r="D35" s="17"/>
      <c r="E35" s="16"/>
      <c r="F35" s="16"/>
      <c r="G35" s="16"/>
      <c r="H35" s="16"/>
      <c r="I35" s="16"/>
      <c r="J35" s="16"/>
      <c r="K35" s="16"/>
      <c r="L35" s="16"/>
      <c r="M35" s="16"/>
      <c r="N35" s="16"/>
      <c r="O35" s="16"/>
      <c r="P35" s="16"/>
      <c r="Q35" s="16"/>
      <c r="R35" s="16"/>
      <c r="S35" s="16"/>
      <c r="T35" s="16"/>
      <c r="U35" s="16"/>
      <c r="V35" s="16"/>
      <c r="W35" s="16"/>
      <c r="X35" s="16"/>
      <c r="Y35" s="16"/>
      <c r="Z35" s="16"/>
      <c r="AA35" s="16"/>
      <c r="AB35" s="16"/>
    </row>
    <row r="36" spans="1:28" x14ac:dyDescent="0.25">
      <c r="A36" s="17"/>
      <c r="B36" s="17"/>
      <c r="C36" s="17"/>
      <c r="D36" s="17"/>
      <c r="E36" s="16"/>
      <c r="F36" s="16"/>
      <c r="G36" s="16"/>
      <c r="H36" s="16"/>
      <c r="I36" s="16"/>
      <c r="J36" s="16"/>
      <c r="K36" s="16"/>
      <c r="L36" s="16"/>
      <c r="M36" s="16"/>
      <c r="N36" s="16"/>
      <c r="O36" s="16"/>
      <c r="P36" s="16"/>
      <c r="Q36" s="16"/>
      <c r="R36" s="16"/>
      <c r="S36" s="16"/>
      <c r="T36" s="16"/>
      <c r="U36" s="16"/>
      <c r="V36" s="16"/>
      <c r="W36" s="16"/>
      <c r="X36" s="16"/>
      <c r="Y36" s="16"/>
      <c r="Z36" s="16"/>
      <c r="AA36" s="16"/>
      <c r="AB36" s="16"/>
    </row>
    <row r="37" spans="1:28" x14ac:dyDescent="0.25">
      <c r="A37" s="17"/>
      <c r="B37" s="17"/>
      <c r="C37" s="17"/>
      <c r="D37" s="17"/>
      <c r="E37" s="16"/>
      <c r="F37" s="16"/>
      <c r="G37" s="16"/>
      <c r="H37" s="16"/>
      <c r="I37" s="16"/>
      <c r="J37" s="16"/>
      <c r="K37" s="16"/>
      <c r="L37" s="16"/>
      <c r="M37" s="16"/>
      <c r="N37" s="16"/>
      <c r="O37" s="16"/>
      <c r="P37" s="16"/>
      <c r="Q37" s="16"/>
      <c r="R37" s="16"/>
      <c r="S37" s="16"/>
      <c r="T37" s="16"/>
      <c r="U37" s="16"/>
      <c r="V37" s="16"/>
      <c r="W37" s="16"/>
      <c r="X37" s="16"/>
      <c r="Y37" s="16"/>
      <c r="Z37" s="16"/>
      <c r="AA37" s="16"/>
      <c r="AB37" s="16"/>
    </row>
    <row r="38" spans="1:28" x14ac:dyDescent="0.25">
      <c r="A38" s="17"/>
      <c r="B38" s="17"/>
      <c r="C38" s="17"/>
      <c r="D38" s="17"/>
      <c r="E38" s="16"/>
      <c r="F38" s="16"/>
      <c r="G38" s="16"/>
      <c r="H38" s="16"/>
      <c r="I38" s="16"/>
      <c r="J38" s="16"/>
      <c r="K38" s="16"/>
      <c r="L38" s="16"/>
      <c r="M38" s="16"/>
      <c r="N38" s="16"/>
      <c r="O38" s="16"/>
      <c r="P38" s="16"/>
      <c r="Q38" s="16"/>
      <c r="R38" s="16"/>
      <c r="S38" s="16"/>
      <c r="T38" s="16"/>
      <c r="U38" s="16"/>
      <c r="V38" s="16"/>
      <c r="W38" s="16"/>
      <c r="X38" s="16"/>
      <c r="Y38" s="16"/>
      <c r="Z38" s="16"/>
      <c r="AA38" s="16"/>
      <c r="AB38" s="16"/>
    </row>
    <row r="39" spans="1:28" x14ac:dyDescent="0.25">
      <c r="A39" s="17"/>
      <c r="B39" s="17"/>
      <c r="C39" s="17"/>
      <c r="D39" s="17"/>
      <c r="E39" s="16"/>
      <c r="F39" s="16"/>
      <c r="G39" s="16"/>
      <c r="H39" s="16"/>
      <c r="I39" s="16"/>
      <c r="J39" s="16"/>
      <c r="K39" s="16"/>
      <c r="L39" s="16"/>
      <c r="M39" s="16"/>
      <c r="N39" s="16"/>
      <c r="O39" s="16"/>
      <c r="P39" s="16"/>
      <c r="Q39" s="16"/>
      <c r="R39" s="16"/>
      <c r="S39" s="16"/>
      <c r="T39" s="16"/>
      <c r="U39" s="16"/>
      <c r="V39" s="16"/>
      <c r="W39" s="16"/>
      <c r="X39" s="16"/>
      <c r="Y39" s="16"/>
      <c r="Z39" s="16"/>
      <c r="AA39" s="16"/>
      <c r="AB39" s="16"/>
    </row>
  </sheetData>
  <sheetProtection sheet="1" objects="1" scenarios="1" autoFilter="0"/>
  <autoFilter ref="A1:D11" xr:uid="{00000000-0009-0000-0000-00000C000000}"/>
  <sortState xmlns:xlrd2="http://schemas.microsoft.com/office/spreadsheetml/2017/richdata2" ref="A2:D10000">
    <sortCondition ref="A2:A10000"/>
  </sortState>
  <conditionalFormatting sqref="D2:D11">
    <cfRule type="cellIs" dxfId="5" priority="2" operator="equal">
      <formula>"Sim"</formula>
    </cfRule>
  </conditionalFormatting>
  <conditionalFormatting sqref="A2:A12">
    <cfRule type="duplicateValues" dxfId="4" priority="22"/>
  </conditionalFormatting>
  <dataValidations count="2">
    <dataValidation type="custom" allowBlank="1" showInputMessage="1" showErrorMessage="1" errorTitle="TIPO MÁQUINA JÁ CADASTRADO!" error="Clique em &quot;Repetir&quot; para alterar ou &quot;Cancelar&quot;." sqref="A2:A11" xr:uid="{00000000-0002-0000-0C00-000000000000}">
      <formula1>COUNTIF(A:A,A2) = 1</formula1>
    </dataValidation>
    <dataValidation type="custom" allowBlank="1" showInputMessage="1" showErrorMessage="1" errorTitle="DESCRIÇÃO JÁ UTILIZADA!" error="Clique em &quot;Repetir&quot; para alterar ou &quot;Cancelar&quot;." sqref="B2:B11" xr:uid="{00000000-0002-0000-0C00-000001000000}">
      <formula1>COUNTIF(B:B,B2) = 1</formula1>
    </dataValidation>
  </dataValidations>
  <printOptions horizontalCentered="1"/>
  <pageMargins left="0" right="0" top="0.59055118110236227" bottom="0.39370078740157483" header="0" footer="0"/>
  <pageSetup paperSize="9" scale="94" fitToHeight="0" orientation="portrait" blackAndWhite="1" verticalDpi="4294967293" r:id="rId1"/>
  <headerFooter>
    <oddHeader>&amp;R&amp;D</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Plan9"/>
  <dimension ref="A1:AA31"/>
  <sheetViews>
    <sheetView workbookViewId="0">
      <pane ySplit="1" topLeftCell="A2" activePane="bottomLeft" state="frozen"/>
      <selection activeCell="B6" sqref="B6"/>
      <selection pane="bottomLeft"/>
    </sheetView>
  </sheetViews>
  <sheetFormatPr defaultRowHeight="15" x14ac:dyDescent="0.25"/>
  <cols>
    <col min="1" max="1" width="18.85546875" style="15" customWidth="1"/>
    <col min="2" max="2" width="40.140625" style="15" customWidth="1"/>
    <col min="3" max="3" width="11.140625" style="15" customWidth="1"/>
  </cols>
  <sheetData>
    <row r="1" spans="1:27" ht="40.5" customHeight="1" x14ac:dyDescent="0.25">
      <c r="A1" s="21" t="s">
        <v>26</v>
      </c>
      <c r="B1" s="21" t="s">
        <v>16</v>
      </c>
      <c r="C1" s="248" t="s">
        <v>130</v>
      </c>
      <c r="D1" s="22"/>
      <c r="E1" s="22"/>
      <c r="F1" s="22"/>
      <c r="G1" s="22"/>
      <c r="H1" s="22"/>
      <c r="I1" s="22"/>
      <c r="J1" s="22"/>
      <c r="K1" s="22"/>
      <c r="L1" s="22"/>
      <c r="M1" s="22"/>
      <c r="N1" s="22"/>
      <c r="O1" s="22"/>
      <c r="P1" s="22"/>
      <c r="Q1" s="22"/>
      <c r="R1" s="22"/>
      <c r="S1" s="22"/>
      <c r="T1" s="22"/>
      <c r="U1" s="22"/>
      <c r="V1" s="22"/>
      <c r="W1" s="22"/>
      <c r="X1" s="22"/>
      <c r="Y1" s="22"/>
      <c r="Z1" s="22"/>
      <c r="AA1" s="22"/>
    </row>
    <row r="2" spans="1:27" ht="18" customHeight="1" x14ac:dyDescent="0.25">
      <c r="A2" s="18">
        <v>0</v>
      </c>
      <c r="B2" s="34">
        <v>0</v>
      </c>
      <c r="C2" s="249" t="str">
        <f>IF(A2=0,"",IF(ISERROR(VLOOKUP(A2,'BD Seq Op'!F:F,1,FALSE)),"Não","Sim"))</f>
        <v/>
      </c>
      <c r="D2" s="22"/>
      <c r="E2" s="22"/>
      <c r="F2" s="22"/>
      <c r="G2" s="22"/>
      <c r="H2" s="22"/>
      <c r="I2" s="22"/>
      <c r="J2" s="22"/>
      <c r="K2" s="22"/>
      <c r="L2" s="22"/>
      <c r="M2" s="22"/>
      <c r="N2" s="22"/>
      <c r="O2" s="22"/>
      <c r="P2" s="22"/>
      <c r="Q2" s="22"/>
      <c r="R2" s="22"/>
      <c r="S2" s="22"/>
      <c r="T2" s="22"/>
      <c r="U2" s="22"/>
      <c r="V2" s="22"/>
      <c r="W2" s="22"/>
      <c r="X2" s="22"/>
      <c r="Y2" s="22"/>
      <c r="Z2" s="22"/>
      <c r="AA2" s="22"/>
    </row>
    <row r="3" spans="1:27" ht="18" customHeight="1" x14ac:dyDescent="0.25">
      <c r="A3" s="18"/>
      <c r="B3" s="34"/>
      <c r="C3" s="249" t="str">
        <f>IF(A3=0,"",IF(ISERROR(VLOOKUP(A3,'BD Seq Op'!F:F,1,FALSE)),"Não","Sim"))</f>
        <v/>
      </c>
      <c r="D3" s="22"/>
      <c r="E3" s="22"/>
      <c r="F3" s="22"/>
      <c r="G3" s="22"/>
      <c r="H3" s="22"/>
      <c r="I3" s="22"/>
      <c r="J3" s="22"/>
      <c r="K3" s="22"/>
      <c r="L3" s="22"/>
      <c r="M3" s="22"/>
      <c r="N3" s="22"/>
      <c r="O3" s="22"/>
      <c r="P3" s="22"/>
      <c r="Q3" s="22"/>
      <c r="R3" s="22"/>
      <c r="S3" s="22"/>
      <c r="T3" s="22"/>
      <c r="U3" s="22"/>
      <c r="V3" s="22"/>
      <c r="W3" s="22"/>
      <c r="X3" s="22"/>
      <c r="Y3" s="22"/>
      <c r="Z3" s="22"/>
      <c r="AA3" s="22"/>
    </row>
    <row r="4" spans="1:27" ht="29.1" customHeight="1" x14ac:dyDescent="0.25">
      <c r="A4" s="37"/>
      <c r="B4" s="37"/>
      <c r="C4" s="37"/>
      <c r="D4" s="22"/>
      <c r="E4" s="22"/>
      <c r="F4" s="22"/>
      <c r="G4" s="22"/>
      <c r="H4" s="22"/>
      <c r="I4" s="22"/>
      <c r="J4" s="22"/>
      <c r="K4" s="22"/>
      <c r="L4" s="22"/>
      <c r="M4" s="22"/>
      <c r="N4" s="22"/>
      <c r="O4" s="22"/>
      <c r="P4" s="22"/>
      <c r="Q4" s="22"/>
      <c r="R4" s="22"/>
      <c r="S4" s="22"/>
      <c r="T4" s="22"/>
      <c r="U4" s="22"/>
      <c r="V4" s="22"/>
      <c r="W4" s="22"/>
      <c r="X4" s="22"/>
      <c r="Y4" s="22"/>
      <c r="Z4" s="22"/>
      <c r="AA4" s="22"/>
    </row>
    <row r="5" spans="1:27" x14ac:dyDescent="0.25">
      <c r="A5" s="23"/>
      <c r="B5" s="23"/>
      <c r="C5" s="23"/>
      <c r="D5" s="22"/>
      <c r="E5" s="22"/>
      <c r="F5" s="22"/>
      <c r="G5" s="22"/>
      <c r="H5" s="22"/>
      <c r="I5" s="22"/>
      <c r="J5" s="22"/>
      <c r="K5" s="22"/>
      <c r="L5" s="22"/>
      <c r="M5" s="22"/>
      <c r="N5" s="22"/>
      <c r="O5" s="22"/>
      <c r="P5" s="22"/>
      <c r="Q5" s="22"/>
      <c r="R5" s="22"/>
      <c r="S5" s="22"/>
      <c r="T5" s="22"/>
      <c r="U5" s="22"/>
      <c r="V5" s="22"/>
      <c r="W5" s="22"/>
      <c r="X5" s="22"/>
      <c r="Y5" s="22"/>
      <c r="Z5" s="22"/>
      <c r="AA5" s="22"/>
    </row>
    <row r="6" spans="1:27" x14ac:dyDescent="0.25">
      <c r="A6" s="23"/>
      <c r="B6" s="23"/>
      <c r="C6" s="23"/>
      <c r="D6" s="22"/>
      <c r="E6" s="22"/>
      <c r="F6" s="22"/>
      <c r="G6" s="22"/>
      <c r="H6" s="22"/>
      <c r="I6" s="22"/>
      <c r="J6" s="22"/>
      <c r="K6" s="22"/>
      <c r="L6" s="22"/>
      <c r="M6" s="22"/>
      <c r="N6" s="22"/>
      <c r="O6" s="22"/>
      <c r="P6" s="22"/>
      <c r="Q6" s="22"/>
      <c r="R6" s="22"/>
      <c r="S6" s="22"/>
      <c r="T6" s="22"/>
      <c r="U6" s="22"/>
      <c r="V6" s="22"/>
      <c r="W6" s="22"/>
      <c r="X6" s="22"/>
      <c r="Y6" s="22"/>
      <c r="Z6" s="22"/>
      <c r="AA6" s="22"/>
    </row>
    <row r="7" spans="1:27" x14ac:dyDescent="0.25">
      <c r="A7" s="23"/>
      <c r="B7" s="23"/>
      <c r="C7" s="23"/>
      <c r="D7" s="22"/>
      <c r="E7" s="22"/>
      <c r="F7" s="22"/>
      <c r="G7" s="22"/>
      <c r="H7" s="22"/>
      <c r="I7" s="22"/>
      <c r="J7" s="22"/>
      <c r="K7" s="22"/>
      <c r="L7" s="22"/>
      <c r="M7" s="22"/>
      <c r="N7" s="22"/>
      <c r="O7" s="22"/>
      <c r="P7" s="22"/>
      <c r="Q7" s="22"/>
      <c r="R7" s="22"/>
      <c r="S7" s="22"/>
      <c r="T7" s="22"/>
      <c r="U7" s="22"/>
      <c r="V7" s="22"/>
      <c r="W7" s="22"/>
      <c r="X7" s="22"/>
      <c r="Y7" s="22"/>
      <c r="Z7" s="22"/>
      <c r="AA7" s="22"/>
    </row>
    <row r="8" spans="1:27" x14ac:dyDescent="0.25">
      <c r="A8" s="23"/>
      <c r="B8" s="23"/>
      <c r="C8" s="23"/>
      <c r="D8" s="22"/>
      <c r="E8" s="22"/>
      <c r="F8" s="22"/>
      <c r="G8" s="22"/>
      <c r="H8" s="22"/>
      <c r="I8" s="22"/>
      <c r="J8" s="22"/>
      <c r="K8" s="22"/>
      <c r="L8" s="22"/>
      <c r="M8" s="22"/>
      <c r="N8" s="22"/>
      <c r="O8" s="22"/>
      <c r="P8" s="22"/>
      <c r="Q8" s="22"/>
      <c r="R8" s="22"/>
      <c r="S8" s="22"/>
      <c r="T8" s="22"/>
      <c r="U8" s="22"/>
      <c r="V8" s="22"/>
      <c r="W8" s="22"/>
      <c r="X8" s="22"/>
      <c r="Y8" s="22"/>
      <c r="Z8" s="22"/>
      <c r="AA8" s="22"/>
    </row>
    <row r="9" spans="1:27" x14ac:dyDescent="0.25">
      <c r="A9" s="23"/>
      <c r="B9" s="23"/>
      <c r="C9" s="23"/>
      <c r="D9" s="22"/>
      <c r="E9" s="22"/>
      <c r="F9" s="22"/>
      <c r="G9" s="22"/>
      <c r="H9" s="22"/>
      <c r="I9" s="22"/>
      <c r="J9" s="22"/>
      <c r="K9" s="22"/>
      <c r="L9" s="22"/>
      <c r="M9" s="22"/>
      <c r="N9" s="22"/>
      <c r="O9" s="22"/>
      <c r="P9" s="22"/>
      <c r="Q9" s="22"/>
      <c r="R9" s="22"/>
      <c r="S9" s="22"/>
      <c r="T9" s="22"/>
      <c r="U9" s="22"/>
      <c r="V9" s="22"/>
      <c r="W9" s="22"/>
      <c r="X9" s="22"/>
      <c r="Y9" s="22"/>
      <c r="Z9" s="22"/>
      <c r="AA9" s="22"/>
    </row>
    <row r="10" spans="1:27" x14ac:dyDescent="0.25">
      <c r="A10" s="23"/>
      <c r="B10" s="23"/>
      <c r="C10" s="23"/>
      <c r="D10" s="22"/>
      <c r="E10" s="22"/>
      <c r="F10" s="22"/>
      <c r="G10" s="22"/>
      <c r="H10" s="22"/>
      <c r="I10" s="22"/>
      <c r="J10" s="22"/>
      <c r="K10" s="22"/>
      <c r="L10" s="22"/>
      <c r="M10" s="22"/>
      <c r="N10" s="22"/>
      <c r="O10" s="22"/>
      <c r="P10" s="22"/>
      <c r="Q10" s="22"/>
      <c r="R10" s="22"/>
      <c r="S10" s="22"/>
      <c r="T10" s="22"/>
      <c r="U10" s="22"/>
      <c r="V10" s="22"/>
      <c r="W10" s="22"/>
      <c r="X10" s="22"/>
      <c r="Y10" s="22"/>
      <c r="Z10" s="22"/>
      <c r="AA10" s="22"/>
    </row>
    <row r="11" spans="1:27" x14ac:dyDescent="0.25">
      <c r="A11" s="23"/>
      <c r="B11" s="23"/>
      <c r="C11" s="23"/>
      <c r="D11" s="22"/>
      <c r="E11" s="22"/>
      <c r="F11" s="22"/>
      <c r="G11" s="22"/>
      <c r="H11" s="22"/>
      <c r="I11" s="22"/>
      <c r="J11" s="22"/>
      <c r="K11" s="22"/>
      <c r="L11" s="22"/>
      <c r="M11" s="22"/>
      <c r="N11" s="22"/>
      <c r="O11" s="22"/>
      <c r="P11" s="22"/>
      <c r="Q11" s="22"/>
      <c r="R11" s="22"/>
      <c r="S11" s="22"/>
      <c r="T11" s="22"/>
      <c r="U11" s="22"/>
      <c r="V11" s="22"/>
      <c r="W11" s="22"/>
      <c r="X11" s="22"/>
      <c r="Y11" s="22"/>
      <c r="Z11" s="22"/>
      <c r="AA11" s="22"/>
    </row>
    <row r="12" spans="1:27" x14ac:dyDescent="0.25">
      <c r="A12" s="23"/>
      <c r="B12" s="23"/>
      <c r="C12" s="23"/>
      <c r="D12" s="22"/>
      <c r="E12" s="22"/>
      <c r="F12" s="22"/>
      <c r="G12" s="22"/>
      <c r="H12" s="22"/>
      <c r="I12" s="22"/>
      <c r="J12" s="22"/>
      <c r="K12" s="22"/>
      <c r="L12" s="22"/>
      <c r="M12" s="22"/>
      <c r="N12" s="22"/>
      <c r="O12" s="22"/>
      <c r="P12" s="22"/>
      <c r="Q12" s="22"/>
      <c r="R12" s="22"/>
      <c r="S12" s="22"/>
      <c r="T12" s="22"/>
      <c r="U12" s="22"/>
      <c r="V12" s="22"/>
      <c r="W12" s="22"/>
      <c r="X12" s="22"/>
      <c r="Y12" s="22"/>
      <c r="Z12" s="22"/>
      <c r="AA12" s="22"/>
    </row>
    <row r="13" spans="1:27" x14ac:dyDescent="0.25">
      <c r="A13" s="23"/>
      <c r="B13" s="23"/>
      <c r="C13" s="23"/>
      <c r="D13" s="22"/>
      <c r="E13" s="22"/>
      <c r="F13" s="22"/>
      <c r="G13" s="22"/>
      <c r="H13" s="22"/>
      <c r="I13" s="22"/>
      <c r="J13" s="22"/>
      <c r="K13" s="22"/>
      <c r="L13" s="22"/>
      <c r="M13" s="22"/>
      <c r="N13" s="22"/>
      <c r="O13" s="22"/>
      <c r="P13" s="22"/>
      <c r="Q13" s="22"/>
      <c r="R13" s="22"/>
      <c r="S13" s="22"/>
      <c r="T13" s="22"/>
      <c r="U13" s="22"/>
      <c r="V13" s="22"/>
      <c r="W13" s="22"/>
      <c r="X13" s="22"/>
      <c r="Y13" s="22"/>
      <c r="Z13" s="22"/>
      <c r="AA13" s="22"/>
    </row>
    <row r="14" spans="1:27" x14ac:dyDescent="0.25">
      <c r="A14" s="23"/>
      <c r="B14" s="23"/>
      <c r="C14" s="23"/>
      <c r="D14" s="22"/>
      <c r="E14" s="22"/>
      <c r="F14" s="22"/>
      <c r="G14" s="22"/>
      <c r="H14" s="22"/>
      <c r="I14" s="22"/>
      <c r="J14" s="22"/>
      <c r="K14" s="22"/>
      <c r="L14" s="22"/>
      <c r="M14" s="22"/>
      <c r="N14" s="22"/>
      <c r="O14" s="22"/>
      <c r="P14" s="22"/>
      <c r="Q14" s="22"/>
      <c r="R14" s="22"/>
      <c r="S14" s="22"/>
      <c r="T14" s="22"/>
      <c r="U14" s="22"/>
      <c r="V14" s="22"/>
      <c r="W14" s="22"/>
      <c r="X14" s="22"/>
      <c r="Y14" s="22"/>
      <c r="Z14" s="22"/>
      <c r="AA14" s="22"/>
    </row>
    <row r="15" spans="1:27" x14ac:dyDescent="0.25">
      <c r="A15" s="23"/>
      <c r="B15" s="23"/>
      <c r="C15" s="23"/>
      <c r="D15" s="22"/>
      <c r="E15" s="22"/>
      <c r="F15" s="22"/>
      <c r="G15" s="22"/>
      <c r="H15" s="22"/>
      <c r="I15" s="22"/>
      <c r="J15" s="22"/>
      <c r="K15" s="22"/>
      <c r="L15" s="22"/>
      <c r="M15" s="22"/>
      <c r="N15" s="22"/>
      <c r="O15" s="22"/>
      <c r="P15" s="22"/>
      <c r="Q15" s="22"/>
      <c r="R15" s="22"/>
      <c r="S15" s="22"/>
      <c r="T15" s="22"/>
      <c r="U15" s="22"/>
      <c r="V15" s="22"/>
      <c r="W15" s="22"/>
      <c r="X15" s="22"/>
      <c r="Y15" s="22"/>
      <c r="Z15" s="22"/>
      <c r="AA15" s="22"/>
    </row>
    <row r="16" spans="1:27" x14ac:dyDescent="0.25">
      <c r="A16" s="23"/>
      <c r="B16" s="23"/>
      <c r="C16" s="23"/>
      <c r="D16" s="22"/>
      <c r="E16" s="22"/>
      <c r="F16" s="22"/>
      <c r="G16" s="22"/>
      <c r="H16" s="22"/>
      <c r="I16" s="22"/>
      <c r="J16" s="22"/>
      <c r="K16" s="22"/>
      <c r="L16" s="22"/>
      <c r="M16" s="22"/>
      <c r="N16" s="22"/>
      <c r="O16" s="22"/>
      <c r="P16" s="22"/>
      <c r="Q16" s="22"/>
      <c r="R16" s="22"/>
      <c r="S16" s="22"/>
      <c r="T16" s="22"/>
      <c r="U16" s="22"/>
      <c r="V16" s="22"/>
      <c r="W16" s="22"/>
      <c r="X16" s="22"/>
      <c r="Y16" s="22"/>
      <c r="Z16" s="22"/>
      <c r="AA16" s="22"/>
    </row>
    <row r="17" spans="1:27" x14ac:dyDescent="0.25">
      <c r="A17" s="23"/>
      <c r="B17" s="23"/>
      <c r="C17" s="23"/>
      <c r="D17" s="22"/>
      <c r="E17" s="22"/>
      <c r="F17" s="22"/>
      <c r="G17" s="22"/>
      <c r="H17" s="22"/>
      <c r="I17" s="22"/>
      <c r="J17" s="22"/>
      <c r="K17" s="22"/>
      <c r="L17" s="22"/>
      <c r="M17" s="22"/>
      <c r="N17" s="22"/>
      <c r="O17" s="22"/>
      <c r="P17" s="22"/>
      <c r="Q17" s="22"/>
      <c r="R17" s="22"/>
      <c r="S17" s="22"/>
      <c r="T17" s="22"/>
      <c r="U17" s="22"/>
      <c r="V17" s="22"/>
      <c r="W17" s="22"/>
      <c r="X17" s="22"/>
      <c r="Y17" s="22"/>
      <c r="Z17" s="22"/>
      <c r="AA17" s="22"/>
    </row>
    <row r="18" spans="1:27" x14ac:dyDescent="0.25">
      <c r="A18" s="23"/>
      <c r="B18" s="23"/>
      <c r="C18" s="23"/>
      <c r="D18" s="22"/>
      <c r="E18" s="22"/>
      <c r="F18" s="22"/>
      <c r="G18" s="22"/>
      <c r="H18" s="22"/>
      <c r="I18" s="22"/>
      <c r="J18" s="22"/>
      <c r="K18" s="22"/>
      <c r="L18" s="22"/>
      <c r="M18" s="22"/>
      <c r="N18" s="22"/>
      <c r="O18" s="22"/>
      <c r="P18" s="22"/>
      <c r="Q18" s="22"/>
      <c r="R18" s="22"/>
      <c r="S18" s="22"/>
      <c r="T18" s="22"/>
      <c r="U18" s="22"/>
      <c r="V18" s="22"/>
      <c r="W18" s="22"/>
      <c r="X18" s="22"/>
      <c r="Y18" s="22"/>
      <c r="Z18" s="22"/>
      <c r="AA18" s="22"/>
    </row>
    <row r="19" spans="1:27" x14ac:dyDescent="0.25">
      <c r="A19" s="23"/>
      <c r="B19" s="23"/>
      <c r="C19" s="23"/>
      <c r="D19" s="22"/>
      <c r="E19" s="22"/>
      <c r="F19" s="22"/>
      <c r="G19" s="22"/>
      <c r="H19" s="22"/>
      <c r="I19" s="22"/>
      <c r="J19" s="22"/>
      <c r="K19" s="22"/>
      <c r="L19" s="22"/>
      <c r="M19" s="22"/>
      <c r="N19" s="22"/>
      <c r="O19" s="22"/>
      <c r="P19" s="22"/>
      <c r="Q19" s="22"/>
      <c r="R19" s="22"/>
      <c r="S19" s="22"/>
      <c r="T19" s="22"/>
      <c r="U19" s="22"/>
      <c r="V19" s="22"/>
      <c r="W19" s="22"/>
      <c r="X19" s="22"/>
      <c r="Y19" s="22"/>
      <c r="Z19" s="22"/>
      <c r="AA19" s="22"/>
    </row>
    <row r="20" spans="1:27" x14ac:dyDescent="0.25">
      <c r="A20" s="23"/>
      <c r="B20" s="23"/>
      <c r="C20" s="23"/>
      <c r="D20" s="22"/>
      <c r="E20" s="22"/>
      <c r="F20" s="22"/>
      <c r="G20" s="22"/>
      <c r="H20" s="22"/>
      <c r="I20" s="22"/>
      <c r="J20" s="22"/>
      <c r="K20" s="22"/>
      <c r="L20" s="22"/>
      <c r="M20" s="22"/>
      <c r="N20" s="22"/>
      <c r="O20" s="22"/>
      <c r="P20" s="22"/>
      <c r="Q20" s="22"/>
      <c r="R20" s="22"/>
      <c r="S20" s="22"/>
      <c r="T20" s="22"/>
      <c r="U20" s="22"/>
      <c r="V20" s="22"/>
      <c r="W20" s="22"/>
      <c r="X20" s="22"/>
      <c r="Y20" s="22"/>
      <c r="Z20" s="22"/>
      <c r="AA20" s="22"/>
    </row>
    <row r="21" spans="1:27" x14ac:dyDescent="0.25">
      <c r="A21" s="23"/>
      <c r="B21" s="23"/>
      <c r="C21" s="23"/>
      <c r="D21" s="22"/>
      <c r="E21" s="22"/>
      <c r="F21" s="22"/>
      <c r="G21" s="22"/>
      <c r="H21" s="22"/>
      <c r="I21" s="22"/>
      <c r="J21" s="22"/>
      <c r="K21" s="22"/>
      <c r="L21" s="22"/>
      <c r="M21" s="22"/>
      <c r="N21" s="22"/>
      <c r="O21" s="22"/>
      <c r="P21" s="22"/>
      <c r="Q21" s="22"/>
      <c r="R21" s="22"/>
      <c r="S21" s="22"/>
      <c r="T21" s="22"/>
      <c r="U21" s="22"/>
      <c r="V21" s="22"/>
      <c r="W21" s="22"/>
      <c r="X21" s="22"/>
      <c r="Y21" s="22"/>
      <c r="Z21" s="22"/>
      <c r="AA21" s="22"/>
    </row>
    <row r="22" spans="1:27" x14ac:dyDescent="0.25">
      <c r="A22" s="23"/>
      <c r="B22" s="23"/>
      <c r="C22" s="23"/>
      <c r="D22" s="22"/>
      <c r="E22" s="22"/>
      <c r="F22" s="22"/>
      <c r="G22" s="22"/>
      <c r="H22" s="22"/>
      <c r="I22" s="22"/>
      <c r="J22" s="22"/>
      <c r="K22" s="22"/>
      <c r="L22" s="22"/>
      <c r="M22" s="22"/>
      <c r="N22" s="22"/>
      <c r="O22" s="22"/>
      <c r="P22" s="22"/>
      <c r="Q22" s="22"/>
      <c r="R22" s="22"/>
      <c r="S22" s="22"/>
      <c r="T22" s="22"/>
      <c r="U22" s="22"/>
      <c r="V22" s="22"/>
      <c r="W22" s="22"/>
      <c r="X22" s="22"/>
      <c r="Y22" s="22"/>
      <c r="Z22" s="22"/>
      <c r="AA22" s="22"/>
    </row>
    <row r="23" spans="1:27" x14ac:dyDescent="0.25">
      <c r="A23" s="23"/>
      <c r="B23" s="23"/>
      <c r="C23" s="23"/>
      <c r="D23" s="22"/>
      <c r="E23" s="22"/>
      <c r="F23" s="22"/>
      <c r="G23" s="22"/>
      <c r="H23" s="22"/>
      <c r="I23" s="22"/>
      <c r="J23" s="22"/>
      <c r="K23" s="22"/>
      <c r="L23" s="22"/>
      <c r="M23" s="22"/>
      <c r="N23" s="22"/>
      <c r="O23" s="22"/>
      <c r="P23" s="22"/>
      <c r="Q23" s="22"/>
      <c r="R23" s="22"/>
      <c r="S23" s="22"/>
      <c r="T23" s="22"/>
      <c r="U23" s="22"/>
      <c r="V23" s="22"/>
      <c r="W23" s="22"/>
      <c r="X23" s="22"/>
      <c r="Y23" s="22"/>
      <c r="Z23" s="22"/>
      <c r="AA23" s="22"/>
    </row>
    <row r="24" spans="1:27" x14ac:dyDescent="0.25">
      <c r="A24" s="23"/>
      <c r="B24" s="23"/>
      <c r="C24" s="23"/>
      <c r="D24" s="22"/>
      <c r="E24" s="22"/>
      <c r="F24" s="22"/>
      <c r="G24" s="22"/>
      <c r="H24" s="22"/>
      <c r="I24" s="22"/>
      <c r="J24" s="22"/>
      <c r="K24" s="22"/>
      <c r="L24" s="22"/>
      <c r="M24" s="22"/>
      <c r="N24" s="22"/>
      <c r="O24" s="22"/>
      <c r="P24" s="22"/>
      <c r="Q24" s="22"/>
      <c r="R24" s="22"/>
      <c r="S24" s="22"/>
      <c r="T24" s="22"/>
      <c r="U24" s="22"/>
      <c r="V24" s="22"/>
      <c r="W24" s="22"/>
      <c r="X24" s="22"/>
      <c r="Y24" s="22"/>
      <c r="Z24" s="22"/>
      <c r="AA24" s="22"/>
    </row>
    <row r="25" spans="1:27" x14ac:dyDescent="0.25">
      <c r="A25" s="23"/>
      <c r="B25" s="23"/>
      <c r="C25" s="23"/>
      <c r="D25" s="22"/>
      <c r="E25" s="22"/>
      <c r="F25" s="22"/>
      <c r="G25" s="22"/>
      <c r="H25" s="22"/>
      <c r="I25" s="22"/>
      <c r="J25" s="22"/>
      <c r="K25" s="22"/>
      <c r="L25" s="22"/>
      <c r="M25" s="22"/>
      <c r="N25" s="22"/>
      <c r="O25" s="22"/>
      <c r="P25" s="22"/>
      <c r="Q25" s="22"/>
      <c r="R25" s="22"/>
      <c r="S25" s="22"/>
      <c r="T25" s="22"/>
      <c r="U25" s="22"/>
      <c r="V25" s="22"/>
      <c r="W25" s="22"/>
      <c r="X25" s="22"/>
      <c r="Y25" s="22"/>
      <c r="Z25" s="22"/>
      <c r="AA25" s="22"/>
    </row>
    <row r="26" spans="1:27" x14ac:dyDescent="0.25">
      <c r="A26" s="23"/>
      <c r="B26" s="23"/>
      <c r="C26" s="23"/>
      <c r="D26" s="22"/>
      <c r="E26" s="22"/>
      <c r="F26" s="22"/>
      <c r="G26" s="22"/>
      <c r="H26" s="22"/>
      <c r="I26" s="22"/>
      <c r="J26" s="22"/>
      <c r="K26" s="22"/>
      <c r="L26" s="22"/>
      <c r="M26" s="22"/>
      <c r="N26" s="22"/>
      <c r="O26" s="22"/>
      <c r="P26" s="22"/>
      <c r="Q26" s="22"/>
      <c r="R26" s="22"/>
      <c r="S26" s="22"/>
      <c r="T26" s="22"/>
      <c r="U26" s="22"/>
      <c r="V26" s="22"/>
      <c r="W26" s="22"/>
      <c r="X26" s="22"/>
      <c r="Y26" s="22"/>
      <c r="Z26" s="22"/>
      <c r="AA26" s="22"/>
    </row>
    <row r="27" spans="1:27" x14ac:dyDescent="0.25">
      <c r="A27" s="23"/>
      <c r="B27" s="23"/>
      <c r="C27" s="23"/>
      <c r="D27" s="22"/>
      <c r="E27" s="22"/>
      <c r="F27" s="22"/>
      <c r="G27" s="22"/>
      <c r="H27" s="22"/>
      <c r="I27" s="22"/>
      <c r="J27" s="22"/>
      <c r="K27" s="22"/>
      <c r="L27" s="22"/>
      <c r="M27" s="22"/>
      <c r="N27" s="22"/>
      <c r="O27" s="22"/>
      <c r="P27" s="22"/>
      <c r="Q27" s="22"/>
      <c r="R27" s="22"/>
      <c r="S27" s="22"/>
      <c r="T27" s="22"/>
      <c r="U27" s="22"/>
      <c r="V27" s="22"/>
      <c r="W27" s="22"/>
      <c r="X27" s="22"/>
      <c r="Y27" s="22"/>
      <c r="Z27" s="22"/>
      <c r="AA27" s="22"/>
    </row>
    <row r="28" spans="1:27" x14ac:dyDescent="0.25">
      <c r="A28" s="23"/>
      <c r="B28" s="23"/>
      <c r="C28" s="23"/>
      <c r="D28" s="22"/>
      <c r="E28" s="22"/>
      <c r="F28" s="22"/>
      <c r="G28" s="22"/>
      <c r="H28" s="22"/>
      <c r="I28" s="22"/>
      <c r="J28" s="22"/>
      <c r="K28" s="22"/>
      <c r="L28" s="22"/>
      <c r="M28" s="22"/>
      <c r="N28" s="22"/>
      <c r="O28" s="22"/>
      <c r="P28" s="22"/>
      <c r="Q28" s="22"/>
      <c r="R28" s="22"/>
      <c r="S28" s="22"/>
      <c r="T28" s="22"/>
      <c r="U28" s="22"/>
      <c r="V28" s="22"/>
      <c r="W28" s="22"/>
      <c r="X28" s="22"/>
      <c r="Y28" s="22"/>
      <c r="Z28" s="22"/>
      <c r="AA28" s="22"/>
    </row>
    <row r="29" spans="1:27" x14ac:dyDescent="0.25">
      <c r="A29" s="23"/>
      <c r="B29" s="23"/>
      <c r="C29" s="23"/>
      <c r="D29" s="22"/>
      <c r="E29" s="22"/>
      <c r="F29" s="22"/>
      <c r="G29" s="22"/>
      <c r="H29" s="22"/>
      <c r="I29" s="22"/>
      <c r="J29" s="22"/>
      <c r="K29" s="22"/>
      <c r="L29" s="22"/>
      <c r="M29" s="22"/>
      <c r="N29" s="22"/>
      <c r="O29" s="22"/>
      <c r="P29" s="22"/>
      <c r="Q29" s="22"/>
      <c r="R29" s="22"/>
      <c r="S29" s="22"/>
      <c r="T29" s="22"/>
      <c r="U29" s="22"/>
      <c r="V29" s="22"/>
      <c r="W29" s="22"/>
      <c r="X29" s="22"/>
      <c r="Y29" s="22"/>
      <c r="Z29" s="22"/>
      <c r="AA29" s="22"/>
    </row>
    <row r="30" spans="1:27" x14ac:dyDescent="0.25">
      <c r="A30" s="23"/>
      <c r="B30" s="23"/>
      <c r="C30" s="23"/>
      <c r="D30" s="22"/>
      <c r="E30" s="22"/>
      <c r="F30" s="22"/>
      <c r="G30" s="22"/>
      <c r="H30" s="22"/>
      <c r="I30" s="22"/>
      <c r="J30" s="22"/>
      <c r="K30" s="22"/>
      <c r="L30" s="22"/>
      <c r="M30" s="22"/>
      <c r="N30" s="22"/>
      <c r="O30" s="22"/>
      <c r="P30" s="22"/>
      <c r="Q30" s="22"/>
      <c r="R30" s="22"/>
      <c r="S30" s="22"/>
      <c r="T30" s="22"/>
      <c r="U30" s="22"/>
      <c r="V30" s="22"/>
      <c r="W30" s="22"/>
      <c r="X30" s="22"/>
      <c r="Y30" s="22"/>
      <c r="Z30" s="22"/>
      <c r="AA30" s="22"/>
    </row>
    <row r="31" spans="1:27" x14ac:dyDescent="0.25">
      <c r="A31" s="23"/>
      <c r="B31" s="23"/>
      <c r="C31" s="23"/>
      <c r="D31" s="22"/>
      <c r="E31" s="22"/>
      <c r="F31" s="22"/>
      <c r="G31" s="22"/>
      <c r="H31" s="22"/>
      <c r="I31" s="22"/>
      <c r="J31" s="22"/>
      <c r="K31" s="22"/>
      <c r="L31" s="22"/>
      <c r="M31" s="22"/>
      <c r="N31" s="22"/>
      <c r="O31" s="22"/>
      <c r="P31" s="22"/>
      <c r="Q31" s="22"/>
      <c r="R31" s="22"/>
      <c r="S31" s="22"/>
      <c r="T31" s="22"/>
      <c r="U31" s="22"/>
      <c r="V31" s="22"/>
      <c r="W31" s="22"/>
      <c r="X31" s="22"/>
      <c r="Y31" s="22"/>
      <c r="Z31" s="22"/>
      <c r="AA31" s="22"/>
    </row>
  </sheetData>
  <sheetProtection sheet="1" objects="1" scenarios="1" autoFilter="0"/>
  <autoFilter ref="A1:C3" xr:uid="{00000000-0009-0000-0000-00000D000000}"/>
  <sortState xmlns:xlrd2="http://schemas.microsoft.com/office/spreadsheetml/2017/richdata2" ref="A2:C31">
    <sortCondition ref="A2:A10000"/>
  </sortState>
  <conditionalFormatting sqref="C2:C3">
    <cfRule type="cellIs" dxfId="3" priority="3" operator="equal">
      <formula>"Sim"</formula>
    </cfRule>
  </conditionalFormatting>
  <conditionalFormatting sqref="A2:A4">
    <cfRule type="duplicateValues" dxfId="2" priority="13"/>
  </conditionalFormatting>
  <dataValidations count="2">
    <dataValidation type="custom" allowBlank="1" showInputMessage="1" showErrorMessage="1" errorTitle="APARELHO JÁ CADASTRADO!" error="Clique em &quot;Repetir&quot; para alterar ou &quot;Cancelar&quot;." sqref="A2:A3" xr:uid="{00000000-0002-0000-0D00-000000000000}">
      <formula1>COUNTIF(A:A,A2) = 1</formula1>
    </dataValidation>
    <dataValidation type="custom" allowBlank="1" showInputMessage="1" showErrorMessage="1" errorTitle="DESCRIÇÃO JÁ UTILIZADA!" error="Clique em &quot;Repetir&quot; para alterar ou &quot;Cancelar&quot;." sqref="B2:B3" xr:uid="{00000000-0002-0000-0D00-000001000000}">
      <formula1>COUNTIF(B:B,B2) = 1</formula1>
    </dataValidation>
  </dataValidations>
  <printOptions horizontalCentered="1"/>
  <pageMargins left="0" right="0" top="0.59055118110236227" bottom="0.39370078740157483" header="0.19685039370078741" footer="0"/>
  <pageSetup paperSize="9" orientation="portrait" blackAndWhite="1" verticalDpi="4294967293" r:id="rId1"/>
  <headerFooter>
    <oddHeader>&amp;R&amp;D   Pág. &amp;P/ &amp;N</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Plan8"/>
  <dimension ref="A1:Z32"/>
  <sheetViews>
    <sheetView workbookViewId="0">
      <pane ySplit="1" topLeftCell="A2" activePane="bottomLeft" state="frozen"/>
      <selection activeCell="B6" sqref="B6"/>
      <selection pane="bottomLeft"/>
    </sheetView>
  </sheetViews>
  <sheetFormatPr defaultRowHeight="15" x14ac:dyDescent="0.25"/>
  <cols>
    <col min="1" max="1" width="17.28515625" customWidth="1"/>
    <col min="2" max="2" width="45" style="15" customWidth="1"/>
  </cols>
  <sheetData>
    <row r="1" spans="1:26" ht="36.75" customHeight="1" x14ac:dyDescent="0.25">
      <c r="A1" s="38" t="s">
        <v>17</v>
      </c>
      <c r="B1" s="35" t="s">
        <v>18</v>
      </c>
      <c r="C1" s="36"/>
      <c r="D1" s="36"/>
      <c r="E1" s="36"/>
      <c r="F1" s="36"/>
      <c r="G1" s="36"/>
      <c r="H1" s="36"/>
      <c r="I1" s="36"/>
      <c r="J1" s="36"/>
      <c r="K1" s="36"/>
      <c r="L1" s="36"/>
      <c r="M1" s="36"/>
      <c r="N1" s="36"/>
      <c r="O1" s="36"/>
      <c r="P1" s="36"/>
      <c r="Q1" s="36"/>
      <c r="R1" s="36"/>
      <c r="S1" s="36"/>
      <c r="T1" s="36"/>
      <c r="U1" s="36"/>
      <c r="V1" s="36"/>
      <c r="W1" s="36"/>
      <c r="X1" s="36"/>
      <c r="Y1" s="36"/>
      <c r="Z1" s="36"/>
    </row>
    <row r="2" spans="1:26" ht="18" customHeight="1" x14ac:dyDescent="0.25">
      <c r="A2" s="24">
        <v>0</v>
      </c>
      <c r="B2" s="19">
        <v>0</v>
      </c>
      <c r="C2" s="36"/>
      <c r="D2" s="36"/>
      <c r="E2" s="36"/>
      <c r="F2" s="36"/>
      <c r="G2" s="36"/>
      <c r="H2" s="36"/>
      <c r="I2" s="36"/>
      <c r="J2" s="36"/>
      <c r="K2" s="36"/>
      <c r="L2" s="36"/>
      <c r="M2" s="36"/>
      <c r="N2" s="36"/>
      <c r="O2" s="36"/>
      <c r="P2" s="36"/>
      <c r="Q2" s="36"/>
      <c r="R2" s="36"/>
      <c r="S2" s="36"/>
      <c r="T2" s="36"/>
      <c r="U2" s="36"/>
      <c r="V2" s="36"/>
      <c r="W2" s="36"/>
      <c r="X2" s="36"/>
      <c r="Y2" s="36"/>
      <c r="Z2" s="36"/>
    </row>
    <row r="3" spans="1:26" ht="18" customHeight="1" x14ac:dyDescent="0.25">
      <c r="A3" s="24"/>
      <c r="B3" s="19"/>
      <c r="C3" s="36"/>
      <c r="D3" s="36"/>
      <c r="E3" s="36"/>
      <c r="F3" s="36"/>
      <c r="G3" s="36"/>
      <c r="H3" s="36"/>
      <c r="I3" s="36"/>
      <c r="J3" s="36"/>
      <c r="K3" s="36"/>
      <c r="L3" s="36"/>
      <c r="M3" s="36"/>
      <c r="N3" s="36"/>
      <c r="O3" s="36"/>
      <c r="P3" s="36"/>
      <c r="Q3" s="36"/>
      <c r="R3" s="36"/>
      <c r="S3" s="36"/>
      <c r="T3" s="36"/>
      <c r="U3" s="36"/>
      <c r="V3" s="36"/>
      <c r="W3" s="36"/>
      <c r="X3" s="36"/>
      <c r="Y3" s="36"/>
      <c r="Z3" s="36"/>
    </row>
    <row r="4" spans="1:26" ht="18" customHeight="1" x14ac:dyDescent="0.25">
      <c r="A4" s="24"/>
      <c r="B4" s="19"/>
      <c r="C4" s="36"/>
      <c r="D4" s="36"/>
      <c r="E4" s="36"/>
      <c r="F4" s="36"/>
      <c r="G4" s="36"/>
      <c r="H4" s="36"/>
      <c r="I4" s="36"/>
      <c r="J4" s="36"/>
      <c r="K4" s="36"/>
      <c r="L4" s="36"/>
      <c r="M4" s="36"/>
      <c r="N4" s="36"/>
      <c r="O4" s="36"/>
      <c r="P4" s="36"/>
      <c r="Q4" s="36"/>
      <c r="R4" s="36"/>
      <c r="S4" s="36"/>
      <c r="T4" s="36"/>
      <c r="U4" s="36"/>
      <c r="V4" s="36"/>
      <c r="W4" s="36"/>
      <c r="X4" s="36"/>
      <c r="Y4" s="36"/>
      <c r="Z4" s="36"/>
    </row>
    <row r="5" spans="1:26" ht="29.1" customHeight="1" x14ac:dyDescent="0.25">
      <c r="A5" s="39"/>
      <c r="B5" s="40"/>
      <c r="C5" s="36"/>
      <c r="D5" s="36"/>
      <c r="E5" s="36"/>
      <c r="F5" s="36"/>
      <c r="G5" s="36"/>
      <c r="H5" s="36"/>
      <c r="I5" s="36"/>
      <c r="J5" s="36"/>
      <c r="K5" s="36"/>
      <c r="L5" s="36"/>
      <c r="M5" s="36"/>
      <c r="N5" s="36"/>
      <c r="O5" s="36"/>
      <c r="P5" s="36"/>
      <c r="Q5" s="36"/>
      <c r="R5" s="36"/>
      <c r="S5" s="36"/>
      <c r="T5" s="36"/>
      <c r="U5" s="36"/>
      <c r="V5" s="36"/>
      <c r="W5" s="36"/>
      <c r="X5" s="36"/>
      <c r="Y5" s="36"/>
      <c r="Z5" s="36"/>
    </row>
    <row r="6" spans="1:26" x14ac:dyDescent="0.25">
      <c r="A6" s="36"/>
      <c r="B6" s="41"/>
      <c r="C6" s="36"/>
      <c r="D6" s="36"/>
      <c r="E6" s="36"/>
      <c r="F6" s="36"/>
      <c r="G6" s="36"/>
      <c r="H6" s="36"/>
      <c r="I6" s="36"/>
      <c r="J6" s="36"/>
      <c r="K6" s="36"/>
      <c r="L6" s="36"/>
      <c r="M6" s="36"/>
      <c r="N6" s="36"/>
      <c r="O6" s="36"/>
      <c r="P6" s="36"/>
      <c r="Q6" s="36"/>
      <c r="R6" s="36"/>
      <c r="S6" s="36"/>
      <c r="T6" s="36"/>
      <c r="U6" s="36"/>
      <c r="V6" s="36"/>
      <c r="W6" s="36"/>
      <c r="X6" s="36"/>
      <c r="Y6" s="36"/>
      <c r="Z6" s="36"/>
    </row>
    <row r="7" spans="1:26" x14ac:dyDescent="0.25">
      <c r="A7" s="36"/>
      <c r="B7" s="41"/>
      <c r="C7" s="36"/>
      <c r="D7" s="36"/>
      <c r="E7" s="36"/>
      <c r="F7" s="36"/>
      <c r="G7" s="36"/>
      <c r="H7" s="36"/>
      <c r="I7" s="36"/>
      <c r="J7" s="36"/>
      <c r="K7" s="36"/>
      <c r="L7" s="36"/>
      <c r="M7" s="36"/>
      <c r="N7" s="36"/>
      <c r="O7" s="36"/>
      <c r="P7" s="36"/>
      <c r="Q7" s="36"/>
      <c r="R7" s="36"/>
      <c r="S7" s="36"/>
      <c r="T7" s="36"/>
      <c r="U7" s="36"/>
      <c r="V7" s="36"/>
      <c r="W7" s="36"/>
      <c r="X7" s="36"/>
      <c r="Y7" s="36"/>
      <c r="Z7" s="36"/>
    </row>
    <row r="8" spans="1:26" x14ac:dyDescent="0.25">
      <c r="A8" s="36"/>
      <c r="B8" s="41"/>
      <c r="C8" s="36"/>
      <c r="D8" s="36"/>
      <c r="E8" s="36"/>
      <c r="F8" s="36"/>
      <c r="G8" s="36"/>
      <c r="H8" s="36"/>
      <c r="I8" s="36"/>
      <c r="J8" s="36"/>
      <c r="K8" s="36"/>
      <c r="L8" s="36"/>
      <c r="M8" s="36"/>
      <c r="N8" s="36"/>
      <c r="O8" s="36"/>
      <c r="P8" s="36"/>
      <c r="Q8" s="36"/>
      <c r="R8" s="36"/>
      <c r="S8" s="36"/>
      <c r="T8" s="36"/>
      <c r="U8" s="36"/>
      <c r="V8" s="36"/>
      <c r="W8" s="36"/>
      <c r="X8" s="36"/>
      <c r="Y8" s="36"/>
      <c r="Z8" s="36"/>
    </row>
    <row r="9" spans="1:26" x14ac:dyDescent="0.25">
      <c r="A9" s="36"/>
      <c r="B9" s="41"/>
      <c r="C9" s="36"/>
      <c r="D9" s="36"/>
      <c r="E9" s="36"/>
      <c r="F9" s="36"/>
      <c r="G9" s="36"/>
      <c r="H9" s="36"/>
      <c r="I9" s="36"/>
      <c r="J9" s="36"/>
      <c r="K9" s="36"/>
      <c r="L9" s="36"/>
      <c r="M9" s="36"/>
      <c r="N9" s="36"/>
      <c r="O9" s="36"/>
      <c r="P9" s="36"/>
      <c r="Q9" s="36"/>
      <c r="R9" s="36"/>
      <c r="S9" s="36"/>
      <c r="T9" s="36"/>
      <c r="U9" s="36"/>
      <c r="V9" s="36"/>
      <c r="W9" s="36"/>
      <c r="X9" s="36"/>
      <c r="Y9" s="36"/>
      <c r="Z9" s="36"/>
    </row>
    <row r="10" spans="1:26" x14ac:dyDescent="0.25">
      <c r="A10" s="36"/>
      <c r="B10" s="41"/>
      <c r="C10" s="36"/>
      <c r="D10" s="36"/>
      <c r="E10" s="36"/>
      <c r="F10" s="36"/>
      <c r="G10" s="36"/>
      <c r="H10" s="36"/>
      <c r="I10" s="36"/>
      <c r="J10" s="36"/>
      <c r="K10" s="36"/>
      <c r="L10" s="36"/>
      <c r="M10" s="36"/>
      <c r="N10" s="36"/>
      <c r="O10" s="36"/>
      <c r="P10" s="36"/>
      <c r="Q10" s="36"/>
      <c r="R10" s="36"/>
      <c r="S10" s="36"/>
      <c r="T10" s="36"/>
      <c r="U10" s="36"/>
      <c r="V10" s="36"/>
      <c r="W10" s="36"/>
      <c r="X10" s="36"/>
      <c r="Y10" s="36"/>
      <c r="Z10" s="36"/>
    </row>
    <row r="11" spans="1:26" x14ac:dyDescent="0.25">
      <c r="A11" s="36"/>
      <c r="B11" s="41"/>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x14ac:dyDescent="0.25">
      <c r="A12" s="36"/>
      <c r="B12" s="41"/>
      <c r="C12" s="36"/>
      <c r="D12" s="36"/>
      <c r="E12" s="36"/>
      <c r="F12" s="36"/>
      <c r="G12" s="36"/>
      <c r="H12" s="36"/>
      <c r="I12" s="36"/>
      <c r="J12" s="36"/>
      <c r="K12" s="36"/>
      <c r="L12" s="36"/>
      <c r="M12" s="36"/>
      <c r="N12" s="36"/>
      <c r="O12" s="36"/>
      <c r="P12" s="36"/>
      <c r="Q12" s="36"/>
      <c r="R12" s="36"/>
      <c r="S12" s="36"/>
      <c r="T12" s="36"/>
      <c r="U12" s="36"/>
      <c r="V12" s="36"/>
      <c r="W12" s="36"/>
      <c r="X12" s="36"/>
      <c r="Y12" s="36"/>
      <c r="Z12" s="36"/>
    </row>
    <row r="13" spans="1:26" x14ac:dyDescent="0.25">
      <c r="A13" s="36"/>
      <c r="B13" s="41"/>
      <c r="C13" s="36"/>
      <c r="D13" s="36"/>
      <c r="E13" s="36"/>
      <c r="F13" s="36"/>
      <c r="G13" s="36"/>
      <c r="H13" s="36"/>
      <c r="I13" s="36"/>
      <c r="J13" s="36"/>
      <c r="K13" s="36"/>
      <c r="L13" s="36"/>
      <c r="M13" s="36"/>
      <c r="N13" s="36"/>
      <c r="O13" s="36"/>
      <c r="P13" s="36"/>
      <c r="Q13" s="36"/>
      <c r="R13" s="36"/>
      <c r="S13" s="36"/>
      <c r="T13" s="36"/>
      <c r="U13" s="36"/>
      <c r="V13" s="36"/>
      <c r="W13" s="36"/>
      <c r="X13" s="36"/>
      <c r="Y13" s="36"/>
      <c r="Z13" s="36"/>
    </row>
    <row r="14" spans="1:26" x14ac:dyDescent="0.25">
      <c r="A14" s="36"/>
      <c r="B14" s="41"/>
      <c r="C14" s="36"/>
      <c r="D14" s="36"/>
      <c r="E14" s="36"/>
      <c r="F14" s="36"/>
      <c r="G14" s="36"/>
      <c r="H14" s="36"/>
      <c r="I14" s="36"/>
      <c r="J14" s="36"/>
      <c r="K14" s="36"/>
      <c r="L14" s="36"/>
      <c r="M14" s="36"/>
      <c r="N14" s="36"/>
      <c r="O14" s="36"/>
      <c r="P14" s="36"/>
      <c r="Q14" s="36"/>
      <c r="R14" s="36"/>
      <c r="S14" s="36"/>
      <c r="T14" s="36"/>
      <c r="U14" s="36"/>
      <c r="V14" s="36"/>
      <c r="W14" s="36"/>
      <c r="X14" s="36"/>
      <c r="Y14" s="36"/>
      <c r="Z14" s="36"/>
    </row>
    <row r="15" spans="1:26" x14ac:dyDescent="0.25">
      <c r="A15" s="36"/>
      <c r="B15" s="41"/>
      <c r="C15" s="36"/>
      <c r="D15" s="36"/>
      <c r="E15" s="36"/>
      <c r="F15" s="36"/>
      <c r="G15" s="36"/>
      <c r="H15" s="36"/>
      <c r="I15" s="36"/>
      <c r="J15" s="36"/>
      <c r="K15" s="36"/>
      <c r="L15" s="36"/>
      <c r="M15" s="36"/>
      <c r="N15" s="36"/>
      <c r="O15" s="36"/>
      <c r="P15" s="36"/>
      <c r="Q15" s="36"/>
      <c r="R15" s="36"/>
      <c r="S15" s="36"/>
      <c r="T15" s="36"/>
      <c r="U15" s="36"/>
      <c r="V15" s="36"/>
      <c r="W15" s="36"/>
      <c r="X15" s="36"/>
      <c r="Y15" s="36"/>
      <c r="Z15" s="36"/>
    </row>
    <row r="16" spans="1:26" x14ac:dyDescent="0.25">
      <c r="A16" s="36"/>
      <c r="B16" s="41"/>
      <c r="C16" s="36"/>
      <c r="D16" s="36"/>
      <c r="E16" s="36"/>
      <c r="F16" s="36"/>
      <c r="G16" s="36"/>
      <c r="H16" s="36"/>
      <c r="I16" s="36"/>
      <c r="J16" s="36"/>
      <c r="K16" s="36"/>
      <c r="L16" s="36"/>
      <c r="M16" s="36"/>
      <c r="N16" s="36"/>
      <c r="O16" s="36"/>
      <c r="P16" s="36"/>
      <c r="Q16" s="36"/>
      <c r="R16" s="36"/>
      <c r="S16" s="36"/>
      <c r="T16" s="36"/>
      <c r="U16" s="36"/>
      <c r="V16" s="36"/>
      <c r="W16" s="36"/>
      <c r="X16" s="36"/>
      <c r="Y16" s="36"/>
      <c r="Z16" s="36"/>
    </row>
    <row r="17" spans="1:26" x14ac:dyDescent="0.25">
      <c r="A17" s="36"/>
      <c r="B17" s="41"/>
      <c r="C17" s="36"/>
      <c r="D17" s="36"/>
      <c r="E17" s="36"/>
      <c r="F17" s="36"/>
      <c r="G17" s="36"/>
      <c r="H17" s="36"/>
      <c r="I17" s="36"/>
      <c r="J17" s="36"/>
      <c r="K17" s="36"/>
      <c r="L17" s="36"/>
      <c r="M17" s="36"/>
      <c r="N17" s="36"/>
      <c r="O17" s="36"/>
      <c r="P17" s="36"/>
      <c r="Q17" s="36"/>
      <c r="R17" s="36"/>
      <c r="S17" s="36"/>
      <c r="T17" s="36"/>
      <c r="U17" s="36"/>
      <c r="V17" s="36"/>
      <c r="W17" s="36"/>
      <c r="X17" s="36"/>
      <c r="Y17" s="36"/>
      <c r="Z17" s="36"/>
    </row>
    <row r="18" spans="1:26" x14ac:dyDescent="0.25">
      <c r="A18" s="36"/>
      <c r="B18" s="41"/>
      <c r="C18" s="36"/>
      <c r="D18" s="36"/>
      <c r="E18" s="36"/>
      <c r="F18" s="36"/>
      <c r="G18" s="36"/>
      <c r="H18" s="36"/>
      <c r="I18" s="36"/>
      <c r="J18" s="36"/>
      <c r="K18" s="36"/>
      <c r="L18" s="36"/>
      <c r="M18" s="36"/>
      <c r="N18" s="36"/>
      <c r="O18" s="36"/>
      <c r="P18" s="36"/>
      <c r="Q18" s="36"/>
      <c r="R18" s="36"/>
      <c r="S18" s="36"/>
      <c r="T18" s="36"/>
      <c r="U18" s="36"/>
      <c r="V18" s="36"/>
      <c r="W18" s="36"/>
      <c r="X18" s="36"/>
      <c r="Y18" s="36"/>
      <c r="Z18" s="36"/>
    </row>
    <row r="19" spans="1:26" x14ac:dyDescent="0.25">
      <c r="A19" s="36"/>
      <c r="B19" s="41"/>
      <c r="C19" s="36"/>
      <c r="D19" s="36"/>
      <c r="E19" s="36"/>
      <c r="F19" s="36"/>
      <c r="G19" s="36"/>
      <c r="H19" s="36"/>
      <c r="I19" s="36"/>
      <c r="J19" s="36"/>
      <c r="K19" s="36"/>
      <c r="L19" s="36"/>
      <c r="M19" s="36"/>
      <c r="N19" s="36"/>
      <c r="O19" s="36"/>
      <c r="P19" s="36"/>
      <c r="Q19" s="36"/>
      <c r="R19" s="36"/>
      <c r="S19" s="36"/>
      <c r="T19" s="36"/>
      <c r="U19" s="36"/>
      <c r="V19" s="36"/>
      <c r="W19" s="36"/>
      <c r="X19" s="36"/>
      <c r="Y19" s="36"/>
      <c r="Z19" s="36"/>
    </row>
    <row r="20" spans="1:26" x14ac:dyDescent="0.25">
      <c r="A20" s="36"/>
      <c r="B20" s="41"/>
      <c r="C20" s="36"/>
      <c r="D20" s="36"/>
      <c r="E20" s="36"/>
      <c r="F20" s="36"/>
      <c r="G20" s="36"/>
      <c r="H20" s="36"/>
      <c r="I20" s="36"/>
      <c r="J20" s="36"/>
      <c r="K20" s="36"/>
      <c r="L20" s="36"/>
      <c r="M20" s="36"/>
      <c r="N20" s="36"/>
      <c r="O20" s="36"/>
      <c r="P20" s="36"/>
      <c r="Q20" s="36"/>
      <c r="R20" s="36"/>
      <c r="S20" s="36"/>
      <c r="T20" s="36"/>
      <c r="U20" s="36"/>
      <c r="V20" s="36"/>
      <c r="W20" s="36"/>
      <c r="X20" s="36"/>
      <c r="Y20" s="36"/>
      <c r="Z20" s="36"/>
    </row>
    <row r="21" spans="1:26" x14ac:dyDescent="0.25">
      <c r="A21" s="36"/>
      <c r="B21" s="41"/>
      <c r="C21" s="36"/>
      <c r="D21" s="36"/>
      <c r="E21" s="36"/>
      <c r="F21" s="36"/>
      <c r="G21" s="36"/>
      <c r="H21" s="36"/>
      <c r="I21" s="36"/>
      <c r="J21" s="36"/>
      <c r="K21" s="36"/>
      <c r="L21" s="36"/>
      <c r="M21" s="36"/>
      <c r="N21" s="36"/>
      <c r="O21" s="36"/>
      <c r="P21" s="36"/>
      <c r="Q21" s="36"/>
      <c r="R21" s="36"/>
      <c r="S21" s="36"/>
      <c r="T21" s="36"/>
      <c r="U21" s="36"/>
      <c r="V21" s="36"/>
      <c r="W21" s="36"/>
      <c r="X21" s="36"/>
      <c r="Y21" s="36"/>
      <c r="Z21" s="36"/>
    </row>
    <row r="22" spans="1:26" x14ac:dyDescent="0.25">
      <c r="A22" s="36"/>
      <c r="B22" s="41"/>
      <c r="C22" s="36"/>
      <c r="D22" s="36"/>
      <c r="E22" s="36"/>
      <c r="F22" s="36"/>
      <c r="G22" s="36"/>
      <c r="H22" s="36"/>
      <c r="I22" s="36"/>
      <c r="J22" s="36"/>
      <c r="K22" s="36"/>
      <c r="L22" s="36"/>
      <c r="M22" s="36"/>
      <c r="N22" s="36"/>
      <c r="O22" s="36"/>
      <c r="P22" s="36"/>
      <c r="Q22" s="36"/>
      <c r="R22" s="36"/>
      <c r="S22" s="36"/>
      <c r="T22" s="36"/>
      <c r="U22" s="36"/>
      <c r="V22" s="36"/>
      <c r="W22" s="36"/>
      <c r="X22" s="36"/>
      <c r="Y22" s="36"/>
      <c r="Z22" s="36"/>
    </row>
    <row r="23" spans="1:26" x14ac:dyDescent="0.25">
      <c r="A23" s="36"/>
      <c r="B23" s="41"/>
      <c r="C23" s="36"/>
      <c r="D23" s="36"/>
      <c r="E23" s="36"/>
      <c r="F23" s="36"/>
      <c r="G23" s="36"/>
      <c r="H23" s="36"/>
      <c r="I23" s="36"/>
      <c r="J23" s="36"/>
      <c r="K23" s="36"/>
      <c r="L23" s="36"/>
      <c r="M23" s="36"/>
      <c r="N23" s="36"/>
      <c r="O23" s="36"/>
      <c r="P23" s="36"/>
      <c r="Q23" s="36"/>
      <c r="R23" s="36"/>
      <c r="S23" s="36"/>
      <c r="T23" s="36"/>
      <c r="U23" s="36"/>
      <c r="V23" s="36"/>
      <c r="W23" s="36"/>
      <c r="X23" s="36"/>
      <c r="Y23" s="36"/>
      <c r="Z23" s="36"/>
    </row>
    <row r="24" spans="1:26" x14ac:dyDescent="0.25">
      <c r="A24" s="36"/>
      <c r="B24" s="41"/>
      <c r="C24" s="36"/>
      <c r="D24" s="36"/>
      <c r="E24" s="36"/>
      <c r="F24" s="36"/>
      <c r="G24" s="36"/>
      <c r="H24" s="36"/>
      <c r="I24" s="36"/>
      <c r="J24" s="36"/>
      <c r="K24" s="36"/>
      <c r="L24" s="36"/>
      <c r="M24" s="36"/>
      <c r="N24" s="36"/>
      <c r="O24" s="36"/>
      <c r="P24" s="36"/>
      <c r="Q24" s="36"/>
      <c r="R24" s="36"/>
      <c r="S24" s="36"/>
      <c r="T24" s="36"/>
      <c r="U24" s="36"/>
      <c r="V24" s="36"/>
      <c r="W24" s="36"/>
      <c r="X24" s="36"/>
      <c r="Y24" s="36"/>
      <c r="Z24" s="36"/>
    </row>
    <row r="25" spans="1:26" x14ac:dyDescent="0.25">
      <c r="A25" s="36"/>
      <c r="B25" s="41"/>
      <c r="C25" s="36"/>
      <c r="D25" s="36"/>
      <c r="E25" s="36"/>
      <c r="F25" s="36"/>
      <c r="G25" s="36"/>
      <c r="H25" s="36"/>
      <c r="I25" s="36"/>
      <c r="J25" s="36"/>
      <c r="K25" s="36"/>
      <c r="L25" s="36"/>
      <c r="M25" s="36"/>
      <c r="N25" s="36"/>
      <c r="O25" s="36"/>
      <c r="P25" s="36"/>
      <c r="Q25" s="36"/>
      <c r="R25" s="36"/>
      <c r="S25" s="36"/>
      <c r="T25" s="36"/>
      <c r="U25" s="36"/>
      <c r="V25" s="36"/>
      <c r="W25" s="36"/>
      <c r="X25" s="36"/>
      <c r="Y25" s="36"/>
      <c r="Z25" s="36"/>
    </row>
    <row r="26" spans="1:26" x14ac:dyDescent="0.25">
      <c r="A26" s="36"/>
      <c r="B26" s="41"/>
      <c r="C26" s="36"/>
      <c r="D26" s="36"/>
      <c r="E26" s="36"/>
      <c r="F26" s="36"/>
      <c r="G26" s="36"/>
      <c r="H26" s="36"/>
      <c r="I26" s="36"/>
      <c r="J26" s="36"/>
      <c r="K26" s="36"/>
      <c r="L26" s="36"/>
      <c r="M26" s="36"/>
      <c r="N26" s="36"/>
      <c r="O26" s="36"/>
      <c r="P26" s="36"/>
      <c r="Q26" s="36"/>
      <c r="R26" s="36"/>
      <c r="S26" s="36"/>
      <c r="T26" s="36"/>
      <c r="U26" s="36"/>
      <c r="V26" s="36"/>
      <c r="W26" s="36"/>
      <c r="X26" s="36"/>
      <c r="Y26" s="36"/>
      <c r="Z26" s="36"/>
    </row>
    <row r="27" spans="1:26" x14ac:dyDescent="0.25">
      <c r="A27" s="36"/>
      <c r="B27" s="41"/>
      <c r="C27" s="36"/>
      <c r="D27" s="36"/>
      <c r="E27" s="36"/>
      <c r="F27" s="36"/>
      <c r="G27" s="36"/>
      <c r="H27" s="36"/>
      <c r="I27" s="36"/>
      <c r="J27" s="36"/>
      <c r="K27" s="36"/>
      <c r="L27" s="36"/>
      <c r="M27" s="36"/>
      <c r="N27" s="36"/>
      <c r="O27" s="36"/>
      <c r="P27" s="36"/>
      <c r="Q27" s="36"/>
      <c r="R27" s="36"/>
      <c r="S27" s="36"/>
      <c r="T27" s="36"/>
      <c r="U27" s="36"/>
      <c r="V27" s="36"/>
      <c r="W27" s="36"/>
      <c r="X27" s="36"/>
      <c r="Y27" s="36"/>
      <c r="Z27" s="36"/>
    </row>
    <row r="28" spans="1:26" x14ac:dyDescent="0.25">
      <c r="A28" s="36"/>
      <c r="B28" s="41"/>
      <c r="C28" s="36"/>
      <c r="D28" s="36"/>
      <c r="E28" s="36"/>
      <c r="F28" s="36"/>
      <c r="G28" s="36"/>
      <c r="H28" s="36"/>
      <c r="I28" s="36"/>
      <c r="J28" s="36"/>
      <c r="K28" s="36"/>
      <c r="L28" s="36"/>
      <c r="M28" s="36"/>
      <c r="N28" s="36"/>
      <c r="O28" s="36"/>
      <c r="P28" s="36"/>
      <c r="Q28" s="36"/>
      <c r="R28" s="36"/>
      <c r="S28" s="36"/>
      <c r="T28" s="36"/>
      <c r="U28" s="36"/>
      <c r="V28" s="36"/>
      <c r="W28" s="36"/>
      <c r="X28" s="36"/>
      <c r="Y28" s="36"/>
      <c r="Z28" s="36"/>
    </row>
    <row r="29" spans="1:26" x14ac:dyDescent="0.25">
      <c r="A29" s="36"/>
      <c r="B29" s="41"/>
      <c r="C29" s="36"/>
      <c r="D29" s="36"/>
      <c r="E29" s="36"/>
      <c r="F29" s="36"/>
      <c r="G29" s="36"/>
      <c r="H29" s="36"/>
      <c r="I29" s="36"/>
      <c r="J29" s="36"/>
      <c r="K29" s="36"/>
      <c r="L29" s="36"/>
      <c r="M29" s="36"/>
      <c r="N29" s="36"/>
      <c r="O29" s="36"/>
      <c r="P29" s="36"/>
      <c r="Q29" s="36"/>
      <c r="R29" s="36"/>
      <c r="S29" s="36"/>
      <c r="T29" s="36"/>
      <c r="U29" s="36"/>
      <c r="V29" s="36"/>
      <c r="W29" s="36"/>
      <c r="X29" s="36"/>
      <c r="Y29" s="36"/>
      <c r="Z29" s="36"/>
    </row>
    <row r="30" spans="1:26" x14ac:dyDescent="0.25">
      <c r="A30" s="36"/>
      <c r="B30" s="41"/>
      <c r="C30" s="36"/>
      <c r="D30" s="36"/>
      <c r="E30" s="36"/>
      <c r="F30" s="36"/>
      <c r="G30" s="36"/>
      <c r="H30" s="36"/>
      <c r="I30" s="36"/>
      <c r="J30" s="36"/>
      <c r="K30" s="36"/>
      <c r="L30" s="36"/>
      <c r="M30" s="36"/>
      <c r="N30" s="36"/>
      <c r="O30" s="36"/>
      <c r="P30" s="36"/>
      <c r="Q30" s="36"/>
      <c r="R30" s="36"/>
      <c r="S30" s="36"/>
      <c r="T30" s="36"/>
      <c r="U30" s="36"/>
      <c r="V30" s="36"/>
      <c r="W30" s="36"/>
      <c r="X30" s="36"/>
      <c r="Y30" s="36"/>
      <c r="Z30" s="36"/>
    </row>
    <row r="31" spans="1:26" x14ac:dyDescent="0.25">
      <c r="A31" s="36"/>
      <c r="B31" s="41"/>
      <c r="C31" s="36"/>
      <c r="D31" s="36"/>
      <c r="E31" s="36"/>
      <c r="F31" s="36"/>
      <c r="G31" s="36"/>
      <c r="H31" s="36"/>
      <c r="I31" s="36"/>
      <c r="J31" s="36"/>
      <c r="K31" s="36"/>
      <c r="L31" s="36"/>
      <c r="M31" s="36"/>
      <c r="N31" s="36"/>
      <c r="O31" s="36"/>
      <c r="P31" s="36"/>
      <c r="Q31" s="36"/>
      <c r="R31" s="36"/>
      <c r="S31" s="36"/>
      <c r="T31" s="36"/>
      <c r="U31" s="36"/>
      <c r="V31" s="36"/>
      <c r="W31" s="36"/>
      <c r="X31" s="36"/>
      <c r="Y31" s="36"/>
      <c r="Z31" s="36"/>
    </row>
    <row r="32" spans="1:26" x14ac:dyDescent="0.25">
      <c r="A32" s="36"/>
      <c r="B32" s="41"/>
      <c r="C32" s="36"/>
      <c r="D32" s="36"/>
      <c r="E32" s="36"/>
      <c r="F32" s="36"/>
      <c r="G32" s="36"/>
      <c r="H32" s="36"/>
      <c r="I32" s="36"/>
      <c r="J32" s="36"/>
      <c r="K32" s="36"/>
      <c r="L32" s="36"/>
      <c r="M32" s="36"/>
      <c r="N32" s="36"/>
      <c r="O32" s="36"/>
      <c r="P32" s="36"/>
      <c r="Q32" s="36"/>
      <c r="R32" s="36"/>
      <c r="S32" s="36"/>
      <c r="T32" s="36"/>
      <c r="U32" s="36"/>
      <c r="V32" s="36"/>
      <c r="W32" s="36"/>
      <c r="X32" s="36"/>
      <c r="Y32" s="36"/>
      <c r="Z32" s="36"/>
    </row>
  </sheetData>
  <sheetProtection sheet="1" objects="1" scenarios="1"/>
  <sortState xmlns:xlrd2="http://schemas.microsoft.com/office/spreadsheetml/2017/richdata2" ref="A2:B10000">
    <sortCondition ref="A2:A10000"/>
  </sortState>
  <conditionalFormatting sqref="A2:A5">
    <cfRule type="duplicateValues" dxfId="1" priority="7"/>
  </conditionalFormatting>
  <dataValidations count="1">
    <dataValidation type="custom" allowBlank="1" showInputMessage="1" showErrorMessage="1" errorTitle="REFERÊNCIA JÁ CADASTRADA!" error="Clique em &quot;Repetir&quot; para alterar ou &quot;Cancelar&quot;." sqref="A2:A4" xr:uid="{00000000-0002-0000-0E00-000000000000}">
      <formula1>COUNTIF(A:A,A2) = 1</formula1>
    </dataValidation>
  </dataValidations>
  <printOptions horizontalCentered="1"/>
  <pageMargins left="0" right="0" top="0.59055118110236227" bottom="0.39370078740157483" header="0.19685039370078741" footer="0"/>
  <pageSetup paperSize="9" orientation="portrait" blackAndWhite="1" verticalDpi="4294967293" r:id="rId1"/>
  <headerFooter>
    <oddHeader>&amp;R&amp;D  Pág. &amp;P / &amp;N</oddHeader>
  </headerFooter>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Plan16"/>
  <dimension ref="A1:Y37"/>
  <sheetViews>
    <sheetView workbookViewId="0">
      <pane ySplit="1" topLeftCell="A2" activePane="bottomLeft" state="frozen"/>
      <selection activeCell="B6" sqref="B6"/>
      <selection pane="bottomLeft"/>
    </sheetView>
  </sheetViews>
  <sheetFormatPr defaultRowHeight="15" x14ac:dyDescent="0.25"/>
  <cols>
    <col min="1" max="1" width="28.7109375" customWidth="1"/>
  </cols>
  <sheetData>
    <row r="1" spans="1:25" ht="35.1" customHeight="1" x14ac:dyDescent="0.25">
      <c r="A1" s="143" t="s">
        <v>74</v>
      </c>
      <c r="B1" s="144"/>
      <c r="C1" s="144"/>
      <c r="D1" s="144"/>
      <c r="E1" s="144"/>
      <c r="F1" s="144"/>
      <c r="G1" s="144"/>
      <c r="H1" s="144"/>
      <c r="I1" s="144"/>
      <c r="J1" s="144"/>
      <c r="K1" s="144"/>
      <c r="L1" s="144"/>
      <c r="M1" s="144"/>
      <c r="N1" s="144"/>
      <c r="O1" s="144"/>
      <c r="P1" s="144"/>
      <c r="Q1" s="144"/>
      <c r="R1" s="144"/>
      <c r="S1" s="144"/>
      <c r="T1" s="144"/>
      <c r="U1" s="144"/>
      <c r="V1" s="144"/>
      <c r="W1" s="144"/>
      <c r="X1" s="144"/>
      <c r="Y1" s="144"/>
    </row>
    <row r="2" spans="1:25" ht="18" customHeight="1" x14ac:dyDescent="0.25">
      <c r="A2" s="34" t="s">
        <v>77</v>
      </c>
      <c r="B2" s="144"/>
      <c r="C2" s="144"/>
      <c r="D2" s="144"/>
      <c r="E2" s="144"/>
      <c r="F2" s="144"/>
      <c r="G2" s="144"/>
      <c r="H2" s="144"/>
      <c r="I2" s="144"/>
      <c r="J2" s="144"/>
      <c r="K2" s="144"/>
      <c r="L2" s="144"/>
      <c r="M2" s="144"/>
      <c r="N2" s="144"/>
      <c r="O2" s="144"/>
      <c r="P2" s="144"/>
      <c r="Q2" s="144"/>
      <c r="R2" s="144"/>
      <c r="S2" s="144"/>
      <c r="T2" s="144"/>
      <c r="U2" s="144"/>
      <c r="V2" s="144"/>
      <c r="W2" s="144"/>
      <c r="X2" s="144"/>
      <c r="Y2" s="144"/>
    </row>
    <row r="3" spans="1:25" ht="18" customHeight="1" x14ac:dyDescent="0.25">
      <c r="A3" s="34" t="s">
        <v>79</v>
      </c>
      <c r="B3" s="144"/>
      <c r="C3" s="144"/>
      <c r="D3" s="144"/>
      <c r="E3" s="144"/>
      <c r="F3" s="144"/>
      <c r="G3" s="144"/>
      <c r="H3" s="144"/>
      <c r="I3" s="144"/>
      <c r="J3" s="144"/>
      <c r="K3" s="144"/>
      <c r="L3" s="144"/>
      <c r="M3" s="144"/>
      <c r="N3" s="144"/>
      <c r="O3" s="144"/>
      <c r="P3" s="144"/>
      <c r="Q3" s="144"/>
      <c r="R3" s="144"/>
      <c r="S3" s="144"/>
      <c r="T3" s="144"/>
      <c r="U3" s="144"/>
      <c r="V3" s="144"/>
      <c r="W3" s="144"/>
      <c r="X3" s="144"/>
      <c r="Y3" s="144"/>
    </row>
    <row r="4" spans="1:25" ht="18" customHeight="1" x14ac:dyDescent="0.25">
      <c r="A4" s="34" t="s">
        <v>75</v>
      </c>
      <c r="B4" s="144"/>
      <c r="C4" s="144"/>
      <c r="D4" s="144"/>
      <c r="E4" s="144"/>
      <c r="F4" s="144"/>
      <c r="G4" s="144"/>
      <c r="H4" s="144"/>
      <c r="I4" s="144"/>
      <c r="J4" s="144"/>
      <c r="K4" s="144"/>
      <c r="L4" s="144"/>
      <c r="M4" s="144"/>
      <c r="N4" s="144"/>
      <c r="O4" s="144"/>
      <c r="P4" s="144"/>
      <c r="Q4" s="144"/>
      <c r="R4" s="144"/>
      <c r="S4" s="144"/>
      <c r="T4" s="144"/>
      <c r="U4" s="144"/>
      <c r="V4" s="144"/>
      <c r="W4" s="144"/>
      <c r="X4" s="144"/>
      <c r="Y4" s="144"/>
    </row>
    <row r="5" spans="1:25" ht="18" customHeight="1" x14ac:dyDescent="0.25">
      <c r="A5" s="34" t="s">
        <v>81</v>
      </c>
      <c r="B5" s="144"/>
      <c r="C5" s="144"/>
      <c r="D5" s="144"/>
      <c r="E5" s="144"/>
      <c r="F5" s="144"/>
      <c r="G5" s="144"/>
      <c r="H5" s="144"/>
      <c r="I5" s="144"/>
      <c r="J5" s="144"/>
      <c r="K5" s="144"/>
      <c r="L5" s="144"/>
      <c r="M5" s="144"/>
      <c r="N5" s="144"/>
      <c r="O5" s="144"/>
      <c r="P5" s="144"/>
      <c r="Q5" s="144"/>
      <c r="R5" s="144"/>
      <c r="S5" s="144"/>
      <c r="T5" s="144"/>
      <c r="U5" s="144"/>
      <c r="V5" s="144"/>
      <c r="W5" s="144"/>
      <c r="X5" s="144"/>
      <c r="Y5" s="144"/>
    </row>
    <row r="6" spans="1:25" ht="18" customHeight="1" x14ac:dyDescent="0.25">
      <c r="A6" s="34" t="s">
        <v>76</v>
      </c>
      <c r="B6" s="144"/>
      <c r="C6" s="144"/>
      <c r="D6" s="144"/>
      <c r="E6" s="144"/>
      <c r="F6" s="144"/>
      <c r="G6" s="144"/>
      <c r="H6" s="144"/>
      <c r="I6" s="144"/>
      <c r="J6" s="144"/>
      <c r="K6" s="144"/>
      <c r="L6" s="144"/>
      <c r="M6" s="144"/>
      <c r="N6" s="144"/>
      <c r="O6" s="144"/>
      <c r="P6" s="144"/>
      <c r="Q6" s="144"/>
      <c r="R6" s="144"/>
      <c r="S6" s="144"/>
      <c r="T6" s="144"/>
      <c r="U6" s="144"/>
      <c r="V6" s="144"/>
      <c r="W6" s="144"/>
      <c r="X6" s="144"/>
      <c r="Y6" s="144"/>
    </row>
    <row r="7" spans="1:25" ht="18" customHeight="1" x14ac:dyDescent="0.25">
      <c r="A7" s="34" t="s">
        <v>80</v>
      </c>
      <c r="B7" s="144"/>
      <c r="C7" s="144"/>
      <c r="D7" s="144"/>
      <c r="E7" s="144"/>
      <c r="F7" s="144"/>
      <c r="G7" s="144"/>
      <c r="H7" s="144"/>
      <c r="I7" s="144"/>
      <c r="J7" s="144"/>
      <c r="K7" s="144"/>
      <c r="L7" s="144"/>
      <c r="M7" s="144"/>
      <c r="N7" s="144"/>
      <c r="O7" s="144"/>
      <c r="P7" s="144"/>
      <c r="Q7" s="144"/>
      <c r="R7" s="144"/>
      <c r="S7" s="144"/>
      <c r="T7" s="144"/>
      <c r="U7" s="144"/>
      <c r="V7" s="144"/>
      <c r="W7" s="144"/>
      <c r="X7" s="144"/>
      <c r="Y7" s="144"/>
    </row>
    <row r="8" spans="1:25" ht="18" customHeight="1" x14ac:dyDescent="0.25">
      <c r="A8" s="34" t="s">
        <v>78</v>
      </c>
      <c r="B8" s="144"/>
      <c r="C8" s="144"/>
      <c r="D8" s="144"/>
      <c r="E8" s="144"/>
      <c r="F8" s="144"/>
      <c r="G8" s="144"/>
      <c r="H8" s="144"/>
      <c r="I8" s="144"/>
      <c r="J8" s="144"/>
      <c r="K8" s="144"/>
      <c r="L8" s="144"/>
      <c r="M8" s="144"/>
      <c r="N8" s="144"/>
      <c r="O8" s="144"/>
      <c r="P8" s="144"/>
      <c r="Q8" s="144"/>
      <c r="R8" s="144"/>
      <c r="S8" s="144"/>
      <c r="T8" s="144"/>
      <c r="U8" s="144"/>
      <c r="V8" s="144"/>
      <c r="W8" s="144"/>
      <c r="X8" s="144"/>
      <c r="Y8" s="144"/>
    </row>
    <row r="9" spans="1:25" ht="18" customHeight="1" x14ac:dyDescent="0.25">
      <c r="A9" s="34"/>
      <c r="B9" s="144"/>
      <c r="C9" s="144"/>
      <c r="D9" s="144"/>
      <c r="E9" s="144"/>
      <c r="F9" s="144"/>
      <c r="G9" s="144"/>
      <c r="H9" s="144"/>
      <c r="I9" s="144"/>
      <c r="J9" s="144"/>
      <c r="K9" s="144"/>
      <c r="L9" s="144"/>
      <c r="M9" s="144"/>
      <c r="N9" s="144"/>
      <c r="O9" s="144"/>
      <c r="P9" s="144"/>
      <c r="Q9" s="144"/>
      <c r="R9" s="144"/>
      <c r="S9" s="144"/>
      <c r="T9" s="144"/>
      <c r="U9" s="144"/>
      <c r="V9" s="144"/>
      <c r="W9" s="144"/>
      <c r="X9" s="144"/>
      <c r="Y9" s="144"/>
    </row>
    <row r="10" spans="1:25" ht="29.1" customHeight="1" x14ac:dyDescent="0.25">
      <c r="A10" s="145"/>
      <c r="B10" s="144"/>
      <c r="C10" s="144"/>
      <c r="D10" s="144"/>
      <c r="E10" s="144"/>
      <c r="F10" s="144"/>
      <c r="G10" s="144"/>
      <c r="H10" s="144"/>
      <c r="I10" s="144"/>
      <c r="J10" s="144"/>
      <c r="K10" s="144"/>
      <c r="L10" s="144"/>
      <c r="M10" s="144"/>
      <c r="N10" s="144"/>
      <c r="O10" s="144"/>
      <c r="P10" s="144"/>
      <c r="Q10" s="144"/>
      <c r="R10" s="144"/>
      <c r="S10" s="144"/>
      <c r="T10" s="144"/>
      <c r="U10" s="144"/>
      <c r="V10" s="144"/>
      <c r="W10" s="144"/>
      <c r="X10" s="144"/>
      <c r="Y10" s="144"/>
    </row>
    <row r="11" spans="1:25" x14ac:dyDescent="0.25">
      <c r="A11" s="144"/>
      <c r="B11" s="144"/>
      <c r="C11" s="144"/>
      <c r="D11" s="144"/>
      <c r="E11" s="144"/>
      <c r="F11" s="144"/>
      <c r="G11" s="144"/>
      <c r="H11" s="144"/>
      <c r="I11" s="144"/>
      <c r="J11" s="144"/>
      <c r="K11" s="144"/>
      <c r="L11" s="144"/>
      <c r="M11" s="144"/>
      <c r="N11" s="144"/>
      <c r="O11" s="144"/>
      <c r="P11" s="144"/>
      <c r="Q11" s="144"/>
      <c r="R11" s="144"/>
      <c r="S11" s="144"/>
      <c r="T11" s="144"/>
      <c r="U11" s="144"/>
      <c r="V11" s="144"/>
      <c r="W11" s="144"/>
      <c r="X11" s="144"/>
      <c r="Y11" s="144"/>
    </row>
    <row r="12" spans="1:25" x14ac:dyDescent="0.25">
      <c r="A12" s="144"/>
      <c r="B12" s="144"/>
      <c r="C12" s="144"/>
      <c r="D12" s="144"/>
      <c r="E12" s="144"/>
      <c r="F12" s="144"/>
      <c r="G12" s="144"/>
      <c r="H12" s="144"/>
      <c r="I12" s="144"/>
      <c r="J12" s="144"/>
      <c r="K12" s="144"/>
      <c r="L12" s="144"/>
      <c r="M12" s="144"/>
      <c r="N12" s="144"/>
      <c r="O12" s="144"/>
      <c r="P12" s="144"/>
      <c r="Q12" s="144"/>
      <c r="R12" s="144"/>
      <c r="S12" s="144"/>
      <c r="T12" s="144"/>
      <c r="U12" s="144"/>
      <c r="V12" s="144"/>
      <c r="W12" s="144"/>
      <c r="X12" s="144"/>
      <c r="Y12" s="144"/>
    </row>
    <row r="13" spans="1:25" x14ac:dyDescent="0.25">
      <c r="A13" s="144"/>
      <c r="B13" s="144"/>
      <c r="C13" s="144"/>
      <c r="D13" s="144"/>
      <c r="E13" s="144"/>
      <c r="F13" s="144"/>
      <c r="G13" s="144"/>
      <c r="H13" s="144"/>
      <c r="I13" s="144"/>
      <c r="J13" s="144"/>
      <c r="K13" s="144"/>
      <c r="L13" s="144"/>
      <c r="M13" s="144"/>
      <c r="N13" s="144"/>
      <c r="O13" s="144"/>
      <c r="P13" s="144"/>
      <c r="Q13" s="144"/>
      <c r="R13" s="144"/>
      <c r="S13" s="144"/>
      <c r="T13" s="144"/>
      <c r="U13" s="144"/>
      <c r="V13" s="144"/>
      <c r="W13" s="144"/>
      <c r="X13" s="144"/>
      <c r="Y13" s="144"/>
    </row>
    <row r="14" spans="1:25" x14ac:dyDescent="0.25">
      <c r="A14" s="144"/>
      <c r="B14" s="144"/>
      <c r="C14" s="144"/>
      <c r="D14" s="144"/>
      <c r="E14" s="144"/>
      <c r="F14" s="144"/>
      <c r="G14" s="144"/>
      <c r="H14" s="144"/>
      <c r="I14" s="144"/>
      <c r="J14" s="144"/>
      <c r="K14" s="144"/>
      <c r="L14" s="144"/>
      <c r="M14" s="144"/>
      <c r="N14" s="144"/>
      <c r="O14" s="144"/>
      <c r="P14" s="144"/>
      <c r="Q14" s="144"/>
      <c r="R14" s="144"/>
      <c r="S14" s="144"/>
      <c r="T14" s="144"/>
      <c r="U14" s="144"/>
      <c r="V14" s="144"/>
      <c r="W14" s="144"/>
      <c r="X14" s="144"/>
      <c r="Y14" s="144"/>
    </row>
    <row r="15" spans="1:25" x14ac:dyDescent="0.25">
      <c r="A15" s="144"/>
      <c r="B15" s="144"/>
      <c r="C15" s="144"/>
      <c r="D15" s="144"/>
      <c r="E15" s="144"/>
      <c r="F15" s="144"/>
      <c r="G15" s="144"/>
      <c r="H15" s="144"/>
      <c r="I15" s="144"/>
      <c r="J15" s="144"/>
      <c r="K15" s="144"/>
      <c r="L15" s="144"/>
      <c r="M15" s="144"/>
      <c r="N15" s="144"/>
      <c r="O15" s="144"/>
      <c r="P15" s="144"/>
      <c r="Q15" s="144"/>
      <c r="R15" s="144"/>
      <c r="S15" s="144"/>
      <c r="T15" s="144"/>
      <c r="U15" s="144"/>
      <c r="V15" s="144"/>
      <c r="W15" s="144"/>
      <c r="X15" s="144"/>
      <c r="Y15" s="144"/>
    </row>
    <row r="16" spans="1:25" x14ac:dyDescent="0.25">
      <c r="A16" s="144"/>
      <c r="B16" s="144"/>
      <c r="C16" s="144"/>
      <c r="D16" s="144"/>
      <c r="E16" s="144"/>
      <c r="F16" s="144"/>
      <c r="G16" s="144"/>
      <c r="H16" s="144"/>
      <c r="I16" s="144"/>
      <c r="J16" s="144"/>
      <c r="K16" s="144"/>
      <c r="L16" s="144"/>
      <c r="M16" s="144"/>
      <c r="N16" s="144"/>
      <c r="O16" s="144"/>
      <c r="P16" s="144"/>
      <c r="Q16" s="144"/>
      <c r="R16" s="144"/>
      <c r="S16" s="144"/>
      <c r="T16" s="144"/>
      <c r="U16" s="144"/>
      <c r="V16" s="144"/>
      <c r="W16" s="144"/>
      <c r="X16" s="144"/>
      <c r="Y16" s="144"/>
    </row>
    <row r="17" spans="1:25" x14ac:dyDescent="0.25">
      <c r="A17" s="144"/>
      <c r="B17" s="144"/>
      <c r="C17" s="144"/>
      <c r="D17" s="144"/>
      <c r="E17" s="144"/>
      <c r="F17" s="144"/>
      <c r="G17" s="144"/>
      <c r="H17" s="144"/>
      <c r="I17" s="144"/>
      <c r="J17" s="144"/>
      <c r="K17" s="144"/>
      <c r="L17" s="144"/>
      <c r="M17" s="144"/>
      <c r="N17" s="144"/>
      <c r="O17" s="144"/>
      <c r="P17" s="144"/>
      <c r="Q17" s="144"/>
      <c r="R17" s="144"/>
      <c r="S17" s="144"/>
      <c r="T17" s="144"/>
      <c r="U17" s="144"/>
      <c r="V17" s="144"/>
      <c r="W17" s="144"/>
      <c r="X17" s="144"/>
      <c r="Y17" s="144"/>
    </row>
    <row r="18" spans="1:25" x14ac:dyDescent="0.25">
      <c r="A18" s="144"/>
      <c r="B18" s="144"/>
      <c r="C18" s="144"/>
      <c r="D18" s="144"/>
      <c r="E18" s="144"/>
      <c r="F18" s="144"/>
      <c r="G18" s="144"/>
      <c r="H18" s="144"/>
      <c r="I18" s="144"/>
      <c r="J18" s="144"/>
      <c r="K18" s="144"/>
      <c r="L18" s="144"/>
      <c r="M18" s="144"/>
      <c r="N18" s="144"/>
      <c r="O18" s="144"/>
      <c r="P18" s="144"/>
      <c r="Q18" s="144"/>
      <c r="R18" s="144"/>
      <c r="S18" s="144"/>
      <c r="T18" s="144"/>
      <c r="U18" s="144"/>
      <c r="V18" s="144"/>
      <c r="W18" s="144"/>
      <c r="X18" s="144"/>
      <c r="Y18" s="144"/>
    </row>
    <row r="19" spans="1:25" x14ac:dyDescent="0.25">
      <c r="A19" s="144"/>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row>
    <row r="20" spans="1:25" x14ac:dyDescent="0.25">
      <c r="A20" s="144"/>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row>
    <row r="21" spans="1:25" x14ac:dyDescent="0.25">
      <c r="A21" s="144"/>
      <c r="B21" s="144"/>
      <c r="C21" s="144"/>
      <c r="D21" s="144"/>
      <c r="E21" s="144"/>
      <c r="F21" s="144"/>
      <c r="G21" s="144"/>
      <c r="H21" s="144"/>
      <c r="I21" s="144"/>
      <c r="J21" s="144"/>
      <c r="K21" s="144"/>
      <c r="L21" s="144"/>
      <c r="M21" s="144"/>
      <c r="N21" s="144"/>
      <c r="O21" s="144"/>
      <c r="P21" s="144"/>
      <c r="Q21" s="144"/>
      <c r="R21" s="144"/>
      <c r="S21" s="144"/>
      <c r="T21" s="144"/>
      <c r="U21" s="144"/>
      <c r="V21" s="144"/>
      <c r="W21" s="144"/>
      <c r="X21" s="144"/>
      <c r="Y21" s="144"/>
    </row>
    <row r="22" spans="1:25" x14ac:dyDescent="0.25">
      <c r="A22" s="144"/>
      <c r="B22" s="144"/>
      <c r="C22" s="144"/>
      <c r="D22" s="144"/>
      <c r="E22" s="144"/>
      <c r="F22" s="144"/>
      <c r="G22" s="144"/>
      <c r="H22" s="144"/>
      <c r="I22" s="144"/>
      <c r="J22" s="144"/>
      <c r="K22" s="144"/>
      <c r="L22" s="144"/>
      <c r="M22" s="144"/>
      <c r="N22" s="144"/>
      <c r="O22" s="144"/>
      <c r="P22" s="144"/>
      <c r="Q22" s="144"/>
      <c r="R22" s="144"/>
      <c r="S22" s="144"/>
      <c r="T22" s="144"/>
      <c r="U22" s="144"/>
      <c r="V22" s="144"/>
      <c r="W22" s="144"/>
      <c r="X22" s="144"/>
      <c r="Y22" s="144"/>
    </row>
    <row r="23" spans="1:25" x14ac:dyDescent="0.25">
      <c r="A23" s="144"/>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row>
    <row r="24" spans="1:25" x14ac:dyDescent="0.25">
      <c r="A24" s="144"/>
      <c r="B24" s="144"/>
      <c r="C24" s="144"/>
      <c r="D24" s="144"/>
      <c r="E24" s="144"/>
      <c r="F24" s="144"/>
      <c r="G24" s="144"/>
      <c r="H24" s="144"/>
      <c r="I24" s="144"/>
      <c r="J24" s="144"/>
      <c r="K24" s="144"/>
      <c r="L24" s="144"/>
      <c r="M24" s="144"/>
      <c r="N24" s="144"/>
      <c r="O24" s="144"/>
      <c r="P24" s="144"/>
      <c r="Q24" s="144"/>
      <c r="R24" s="144"/>
      <c r="S24" s="144"/>
      <c r="T24" s="144"/>
      <c r="U24" s="144"/>
      <c r="V24" s="144"/>
      <c r="W24" s="144"/>
      <c r="X24" s="144"/>
      <c r="Y24" s="144"/>
    </row>
    <row r="25" spans="1:25" x14ac:dyDescent="0.25">
      <c r="A25" s="144"/>
      <c r="B25" s="144"/>
      <c r="C25" s="144"/>
      <c r="D25" s="144"/>
      <c r="E25" s="144"/>
      <c r="F25" s="144"/>
      <c r="G25" s="144"/>
      <c r="H25" s="144"/>
      <c r="I25" s="144"/>
      <c r="J25" s="144"/>
      <c r="K25" s="144"/>
      <c r="L25" s="144"/>
      <c r="M25" s="144"/>
      <c r="N25" s="144"/>
      <c r="O25" s="144"/>
      <c r="P25" s="144"/>
      <c r="Q25" s="144"/>
      <c r="R25" s="144"/>
      <c r="S25" s="144"/>
      <c r="T25" s="144"/>
      <c r="U25" s="144"/>
      <c r="V25" s="144"/>
      <c r="W25" s="144"/>
      <c r="X25" s="144"/>
      <c r="Y25" s="144"/>
    </row>
    <row r="26" spans="1:25" x14ac:dyDescent="0.25">
      <c r="A26" s="144"/>
      <c r="B26" s="144"/>
      <c r="C26" s="144"/>
      <c r="D26" s="144"/>
      <c r="E26" s="144"/>
      <c r="F26" s="144"/>
      <c r="G26" s="144"/>
      <c r="H26" s="144"/>
      <c r="I26" s="144"/>
      <c r="J26" s="144"/>
      <c r="K26" s="144"/>
      <c r="L26" s="144"/>
      <c r="M26" s="144"/>
      <c r="N26" s="144"/>
      <c r="O26" s="144"/>
      <c r="P26" s="144"/>
      <c r="Q26" s="144"/>
      <c r="R26" s="144"/>
      <c r="S26" s="144"/>
      <c r="T26" s="144"/>
      <c r="U26" s="144"/>
      <c r="V26" s="144"/>
      <c r="W26" s="144"/>
      <c r="X26" s="144"/>
      <c r="Y26" s="144"/>
    </row>
    <row r="27" spans="1:25" x14ac:dyDescent="0.25">
      <c r="A27" s="144"/>
      <c r="B27" s="144"/>
      <c r="C27" s="144"/>
      <c r="D27" s="144"/>
      <c r="E27" s="144"/>
      <c r="F27" s="144"/>
      <c r="G27" s="144"/>
      <c r="H27" s="144"/>
      <c r="I27" s="144"/>
      <c r="J27" s="144"/>
      <c r="K27" s="144"/>
      <c r="L27" s="144"/>
      <c r="M27" s="144"/>
      <c r="N27" s="144"/>
      <c r="O27" s="144"/>
      <c r="P27" s="144"/>
      <c r="Q27" s="144"/>
      <c r="R27" s="144"/>
      <c r="S27" s="144"/>
      <c r="T27" s="144"/>
      <c r="U27" s="144"/>
      <c r="V27" s="144"/>
      <c r="W27" s="144"/>
      <c r="X27" s="144"/>
      <c r="Y27" s="144"/>
    </row>
    <row r="28" spans="1:25" x14ac:dyDescent="0.25">
      <c r="A28" s="144"/>
      <c r="B28" s="144"/>
      <c r="C28" s="144"/>
      <c r="D28" s="144"/>
      <c r="E28" s="144"/>
      <c r="F28" s="144"/>
      <c r="G28" s="144"/>
      <c r="H28" s="144"/>
      <c r="I28" s="144"/>
      <c r="J28" s="144"/>
      <c r="K28" s="144"/>
      <c r="L28" s="144"/>
      <c r="M28" s="144"/>
      <c r="N28" s="144"/>
      <c r="O28" s="144"/>
      <c r="P28" s="144"/>
      <c r="Q28" s="144"/>
      <c r="R28" s="144"/>
      <c r="S28" s="144"/>
      <c r="T28" s="144"/>
      <c r="U28" s="144"/>
      <c r="V28" s="144"/>
      <c r="W28" s="144"/>
      <c r="X28" s="144"/>
      <c r="Y28" s="144"/>
    </row>
    <row r="29" spans="1:25" x14ac:dyDescent="0.25">
      <c r="A29" s="144"/>
      <c r="B29" s="144"/>
      <c r="C29" s="144"/>
      <c r="D29" s="144"/>
      <c r="E29" s="144"/>
      <c r="F29" s="144"/>
      <c r="G29" s="144"/>
      <c r="H29" s="144"/>
      <c r="I29" s="144"/>
      <c r="J29" s="144"/>
      <c r="K29" s="144"/>
      <c r="L29" s="144"/>
      <c r="M29" s="144"/>
      <c r="N29" s="144"/>
      <c r="O29" s="144"/>
      <c r="P29" s="144"/>
      <c r="Q29" s="144"/>
      <c r="R29" s="144"/>
      <c r="S29" s="144"/>
      <c r="T29" s="144"/>
      <c r="U29" s="144"/>
      <c r="V29" s="144"/>
      <c r="W29" s="144"/>
      <c r="X29" s="144"/>
      <c r="Y29" s="144"/>
    </row>
    <row r="30" spans="1:25" x14ac:dyDescent="0.25">
      <c r="A30" s="144"/>
      <c r="B30" s="144"/>
      <c r="C30" s="144"/>
      <c r="D30" s="144"/>
      <c r="E30" s="144"/>
      <c r="F30" s="144"/>
      <c r="G30" s="144"/>
      <c r="H30" s="144"/>
      <c r="I30" s="144"/>
      <c r="J30" s="144"/>
      <c r="K30" s="144"/>
      <c r="L30" s="144"/>
      <c r="M30" s="144"/>
      <c r="N30" s="144"/>
      <c r="O30" s="144"/>
      <c r="P30" s="144"/>
      <c r="Q30" s="144"/>
      <c r="R30" s="144"/>
      <c r="S30" s="144"/>
      <c r="T30" s="144"/>
      <c r="U30" s="144"/>
      <c r="V30" s="144"/>
      <c r="W30" s="144"/>
      <c r="X30" s="144"/>
      <c r="Y30" s="144"/>
    </row>
    <row r="31" spans="1:25" x14ac:dyDescent="0.25">
      <c r="A31" s="144"/>
      <c r="B31" s="144"/>
      <c r="C31" s="144"/>
      <c r="D31" s="144"/>
      <c r="E31" s="144"/>
      <c r="F31" s="144"/>
      <c r="G31" s="144"/>
      <c r="H31" s="144"/>
      <c r="I31" s="144"/>
      <c r="J31" s="144"/>
      <c r="K31" s="144"/>
      <c r="L31" s="144"/>
      <c r="M31" s="144"/>
      <c r="N31" s="144"/>
      <c r="O31" s="144"/>
      <c r="P31" s="144"/>
      <c r="Q31" s="144"/>
      <c r="R31" s="144"/>
      <c r="S31" s="144"/>
      <c r="T31" s="144"/>
      <c r="U31" s="144"/>
      <c r="V31" s="144"/>
      <c r="W31" s="144"/>
      <c r="X31" s="144"/>
      <c r="Y31" s="144"/>
    </row>
    <row r="32" spans="1:25" x14ac:dyDescent="0.25">
      <c r="A32" s="144"/>
      <c r="B32" s="144"/>
      <c r="C32" s="144"/>
      <c r="D32" s="144"/>
      <c r="E32" s="144"/>
      <c r="F32" s="144"/>
      <c r="G32" s="144"/>
      <c r="H32" s="144"/>
      <c r="I32" s="144"/>
      <c r="J32" s="144"/>
      <c r="K32" s="144"/>
      <c r="L32" s="144"/>
      <c r="M32" s="144"/>
      <c r="N32" s="144"/>
      <c r="O32" s="144"/>
      <c r="P32" s="144"/>
      <c r="Q32" s="144"/>
      <c r="R32" s="144"/>
      <c r="S32" s="144"/>
      <c r="T32" s="144"/>
      <c r="U32" s="144"/>
      <c r="V32" s="144"/>
      <c r="W32" s="144"/>
      <c r="X32" s="144"/>
      <c r="Y32" s="144"/>
    </row>
    <row r="33" spans="1:25" x14ac:dyDescent="0.25">
      <c r="A33" s="144"/>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row>
    <row r="34" spans="1:25" x14ac:dyDescent="0.25">
      <c r="A34" s="144"/>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row>
    <row r="35" spans="1:25" x14ac:dyDescent="0.25">
      <c r="A35" s="144"/>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row>
    <row r="36" spans="1:25" x14ac:dyDescent="0.25">
      <c r="A36" s="144"/>
      <c r="B36" s="144"/>
      <c r="C36" s="144"/>
      <c r="D36" s="144"/>
      <c r="E36" s="144"/>
      <c r="F36" s="144"/>
      <c r="G36" s="144"/>
      <c r="H36" s="144"/>
      <c r="I36" s="144"/>
      <c r="J36" s="144"/>
      <c r="K36" s="144"/>
      <c r="L36" s="144"/>
      <c r="M36" s="144"/>
      <c r="N36" s="144"/>
      <c r="O36" s="144"/>
      <c r="P36" s="144"/>
      <c r="Q36" s="144"/>
      <c r="R36" s="144"/>
      <c r="S36" s="144"/>
      <c r="T36" s="144"/>
      <c r="U36" s="144"/>
      <c r="V36" s="144"/>
      <c r="W36" s="144"/>
      <c r="X36" s="144"/>
      <c r="Y36" s="144"/>
    </row>
    <row r="37" spans="1:25" x14ac:dyDescent="0.25">
      <c r="A37" s="144"/>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row>
  </sheetData>
  <sheetProtection sheet="1" objects="1" scenarios="1"/>
  <sortState xmlns:xlrd2="http://schemas.microsoft.com/office/spreadsheetml/2017/richdata2" ref="A2:A41">
    <sortCondition ref="A2:A10000"/>
  </sortState>
  <conditionalFormatting sqref="A2:A10">
    <cfRule type="duplicateValues" dxfId="0" priority="5"/>
  </conditionalFormatting>
  <dataValidations count="1">
    <dataValidation type="custom" allowBlank="1" showInputMessage="1" showErrorMessage="1" errorTitle="COR JÁ CADASTRADA!" error="Clique em &quot;Repetir&quot; para alterar ou &quot;Cancelar&quot;." sqref="A2:A9" xr:uid="{00000000-0002-0000-0F00-000000000000}">
      <formula1>COUNTIF(A:A,A2) = 1</formula1>
    </dataValidation>
  </dataValidations>
  <pageMargins left="0.51181102362204722" right="0.51181102362204722" top="0.78740157480314965" bottom="0.78740157480314965" header="0.31496062992125984" footer="0.31496062992125984"/>
  <pageSetup paperSize="9" orientation="portrait" blackAndWhite="1" verticalDpi="4294967293"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Plan17"/>
  <dimension ref="A1:Y50"/>
  <sheetViews>
    <sheetView workbookViewId="0">
      <pane ySplit="1" topLeftCell="A2" activePane="bottomLeft" state="frozen"/>
      <selection activeCell="B6" sqref="B6"/>
      <selection pane="bottomLeft"/>
    </sheetView>
  </sheetViews>
  <sheetFormatPr defaultRowHeight="15" x14ac:dyDescent="0.25"/>
  <cols>
    <col min="1" max="1" width="28.7109375" customWidth="1"/>
  </cols>
  <sheetData>
    <row r="1" spans="1:25" ht="34.5" customHeight="1" x14ac:dyDescent="0.25">
      <c r="A1" s="147" t="s">
        <v>82</v>
      </c>
      <c r="B1" s="148"/>
      <c r="C1" s="148"/>
      <c r="D1" s="148"/>
      <c r="E1" s="148"/>
      <c r="F1" s="148"/>
      <c r="G1" s="148"/>
      <c r="H1" s="148"/>
      <c r="I1" s="148"/>
      <c r="J1" s="148"/>
      <c r="K1" s="148"/>
      <c r="L1" s="148"/>
      <c r="M1" s="148"/>
      <c r="N1" s="148"/>
      <c r="O1" s="148"/>
      <c r="P1" s="148"/>
      <c r="Q1" s="148"/>
      <c r="R1" s="148"/>
      <c r="S1" s="148"/>
      <c r="T1" s="148"/>
      <c r="U1" s="148"/>
      <c r="V1" s="148"/>
      <c r="W1" s="148"/>
      <c r="X1" s="148"/>
      <c r="Y1" s="148"/>
    </row>
    <row r="2" spans="1:25" ht="18" customHeight="1" x14ac:dyDescent="0.25">
      <c r="A2" s="146" t="s">
        <v>87</v>
      </c>
      <c r="B2" s="148"/>
      <c r="C2" s="148"/>
      <c r="D2" s="148"/>
      <c r="E2" s="148"/>
      <c r="F2" s="148"/>
      <c r="G2" s="148"/>
      <c r="H2" s="148"/>
      <c r="I2" s="148"/>
      <c r="J2" s="148"/>
      <c r="K2" s="148"/>
      <c r="L2" s="148"/>
      <c r="M2" s="148"/>
      <c r="N2" s="148"/>
      <c r="O2" s="148"/>
      <c r="P2" s="148"/>
      <c r="Q2" s="148"/>
      <c r="R2" s="148"/>
      <c r="S2" s="148"/>
      <c r="T2" s="148"/>
      <c r="U2" s="148"/>
      <c r="V2" s="148"/>
      <c r="W2" s="148"/>
      <c r="X2" s="148"/>
      <c r="Y2" s="148"/>
    </row>
    <row r="3" spans="1:25" ht="18" customHeight="1" x14ac:dyDescent="0.25">
      <c r="A3" s="146" t="s">
        <v>64</v>
      </c>
      <c r="B3" s="148"/>
      <c r="C3" s="148"/>
      <c r="D3" s="148"/>
      <c r="E3" s="148"/>
      <c r="F3" s="148"/>
      <c r="G3" s="148"/>
      <c r="H3" s="148"/>
      <c r="I3" s="148"/>
      <c r="J3" s="148"/>
      <c r="K3" s="148"/>
      <c r="L3" s="148"/>
      <c r="M3" s="148"/>
      <c r="N3" s="148"/>
      <c r="O3" s="148"/>
      <c r="P3" s="148"/>
      <c r="Q3" s="148"/>
      <c r="R3" s="148"/>
      <c r="S3" s="148"/>
      <c r="T3" s="148"/>
      <c r="U3" s="148"/>
      <c r="V3" s="148"/>
      <c r="W3" s="148"/>
      <c r="X3" s="148"/>
      <c r="Y3" s="148"/>
    </row>
    <row r="4" spans="1:25" ht="18" customHeight="1" x14ac:dyDescent="0.25">
      <c r="A4" s="146" t="s">
        <v>86</v>
      </c>
      <c r="B4" s="148"/>
      <c r="C4" s="148"/>
      <c r="D4" s="148"/>
      <c r="E4" s="148"/>
      <c r="F4" s="148"/>
      <c r="G4" s="148"/>
      <c r="H4" s="148"/>
      <c r="I4" s="148"/>
      <c r="J4" s="148"/>
      <c r="K4" s="148"/>
      <c r="L4" s="148"/>
      <c r="M4" s="148"/>
      <c r="N4" s="148"/>
      <c r="O4" s="148"/>
      <c r="P4" s="148"/>
      <c r="Q4" s="148"/>
      <c r="R4" s="148"/>
      <c r="S4" s="148"/>
      <c r="T4" s="148"/>
      <c r="U4" s="148"/>
      <c r="V4" s="148"/>
      <c r="W4" s="148"/>
      <c r="X4" s="148"/>
      <c r="Y4" s="148"/>
    </row>
    <row r="5" spans="1:25" ht="18" customHeight="1" x14ac:dyDescent="0.25">
      <c r="A5" s="146" t="s">
        <v>89</v>
      </c>
      <c r="B5" s="148"/>
      <c r="C5" s="148"/>
      <c r="D5" s="148"/>
      <c r="E5" s="148"/>
      <c r="F5" s="148"/>
      <c r="G5" s="148"/>
      <c r="H5" s="148"/>
      <c r="I5" s="148"/>
      <c r="J5" s="148"/>
      <c r="K5" s="148"/>
      <c r="L5" s="148"/>
      <c r="M5" s="148"/>
      <c r="N5" s="148"/>
      <c r="O5" s="148"/>
      <c r="P5" s="148"/>
      <c r="Q5" s="148"/>
      <c r="R5" s="148"/>
      <c r="S5" s="148"/>
      <c r="T5" s="148"/>
      <c r="U5" s="148"/>
      <c r="V5" s="148"/>
      <c r="W5" s="148"/>
      <c r="X5" s="148"/>
      <c r="Y5" s="148"/>
    </row>
    <row r="6" spans="1:25" ht="18" customHeight="1" x14ac:dyDescent="0.25">
      <c r="A6" s="146" t="s">
        <v>90</v>
      </c>
      <c r="B6" s="148"/>
      <c r="C6" s="148"/>
      <c r="D6" s="148"/>
      <c r="E6" s="148"/>
      <c r="F6" s="148"/>
      <c r="G6" s="148"/>
      <c r="H6" s="148"/>
      <c r="I6" s="148"/>
      <c r="J6" s="148"/>
      <c r="K6" s="148"/>
      <c r="L6" s="148"/>
      <c r="M6" s="148"/>
      <c r="N6" s="148"/>
      <c r="O6" s="148"/>
      <c r="P6" s="148"/>
      <c r="Q6" s="148"/>
      <c r="R6" s="148"/>
      <c r="S6" s="148"/>
      <c r="T6" s="148"/>
      <c r="U6" s="148"/>
      <c r="V6" s="148"/>
      <c r="W6" s="148"/>
      <c r="X6" s="148"/>
      <c r="Y6" s="148"/>
    </row>
    <row r="7" spans="1:25" ht="18" customHeight="1" x14ac:dyDescent="0.25">
      <c r="A7" s="146" t="s">
        <v>132</v>
      </c>
      <c r="B7" s="148"/>
      <c r="C7" s="148"/>
      <c r="D7" s="148"/>
      <c r="E7" s="148"/>
      <c r="F7" s="148"/>
      <c r="G7" s="148"/>
      <c r="H7" s="148"/>
      <c r="I7" s="148"/>
      <c r="J7" s="148"/>
      <c r="K7" s="148"/>
      <c r="L7" s="148"/>
      <c r="M7" s="148"/>
      <c r="N7" s="148"/>
      <c r="O7" s="148"/>
      <c r="P7" s="148"/>
      <c r="Q7" s="148"/>
      <c r="R7" s="148"/>
      <c r="S7" s="148"/>
      <c r="T7" s="148"/>
      <c r="U7" s="148"/>
      <c r="V7" s="148"/>
      <c r="W7" s="148"/>
      <c r="X7" s="148"/>
      <c r="Y7" s="148"/>
    </row>
    <row r="8" spans="1:25" ht="18" customHeight="1" x14ac:dyDescent="0.25">
      <c r="A8" s="146" t="s">
        <v>121</v>
      </c>
      <c r="B8" s="148"/>
      <c r="C8" s="148"/>
      <c r="D8" s="148"/>
      <c r="E8" s="148"/>
      <c r="F8" s="148"/>
      <c r="G8" s="148"/>
      <c r="H8" s="148"/>
      <c r="I8" s="148"/>
      <c r="J8" s="148"/>
      <c r="K8" s="148"/>
      <c r="L8" s="148"/>
      <c r="M8" s="148"/>
      <c r="N8" s="148"/>
      <c r="O8" s="148"/>
      <c r="P8" s="148"/>
      <c r="Q8" s="148"/>
      <c r="R8" s="148"/>
      <c r="S8" s="148"/>
      <c r="T8" s="148"/>
      <c r="U8" s="148"/>
      <c r="V8" s="148"/>
      <c r="W8" s="148"/>
      <c r="X8" s="148"/>
      <c r="Y8" s="148"/>
    </row>
    <row r="9" spans="1:25" ht="18" customHeight="1" x14ac:dyDescent="0.25">
      <c r="A9" s="146" t="s">
        <v>88</v>
      </c>
      <c r="B9" s="148"/>
      <c r="C9" s="148"/>
      <c r="D9" s="148"/>
      <c r="E9" s="148"/>
      <c r="F9" s="148"/>
      <c r="G9" s="148"/>
      <c r="H9" s="148"/>
      <c r="I9" s="148"/>
      <c r="J9" s="148"/>
      <c r="K9" s="148"/>
      <c r="L9" s="148"/>
      <c r="M9" s="148"/>
      <c r="N9" s="148"/>
      <c r="O9" s="148"/>
      <c r="P9" s="148"/>
      <c r="Q9" s="148"/>
      <c r="R9" s="148"/>
      <c r="S9" s="148"/>
      <c r="T9" s="148"/>
      <c r="U9" s="148"/>
      <c r="V9" s="148"/>
      <c r="W9" s="148"/>
      <c r="X9" s="148"/>
      <c r="Y9" s="148"/>
    </row>
    <row r="10" spans="1:25" ht="18" customHeight="1" x14ac:dyDescent="0.25">
      <c r="A10" s="146" t="s">
        <v>133</v>
      </c>
      <c r="B10" s="148"/>
      <c r="C10" s="148"/>
      <c r="D10" s="148"/>
      <c r="E10" s="148"/>
      <c r="F10" s="148"/>
      <c r="G10" s="148"/>
      <c r="H10" s="148"/>
      <c r="I10" s="148"/>
      <c r="J10" s="148"/>
      <c r="K10" s="148"/>
      <c r="L10" s="148"/>
      <c r="M10" s="148"/>
      <c r="N10" s="148"/>
      <c r="O10" s="148"/>
      <c r="P10" s="148"/>
      <c r="Q10" s="148"/>
      <c r="R10" s="148"/>
      <c r="S10" s="148"/>
      <c r="T10" s="148"/>
      <c r="U10" s="148"/>
      <c r="V10" s="148"/>
      <c r="W10" s="148"/>
      <c r="X10" s="148"/>
      <c r="Y10" s="148"/>
    </row>
    <row r="11" spans="1:25" ht="18" customHeight="1" x14ac:dyDescent="0.25">
      <c r="A11" s="146" t="s">
        <v>134</v>
      </c>
      <c r="B11" s="148"/>
      <c r="C11" s="148"/>
      <c r="D11" s="148"/>
      <c r="E11" s="148"/>
      <c r="F11" s="148"/>
      <c r="G11" s="148"/>
      <c r="H11" s="148"/>
      <c r="I11" s="148"/>
      <c r="J11" s="148"/>
      <c r="K11" s="148"/>
      <c r="L11" s="148"/>
      <c r="M11" s="148"/>
      <c r="N11" s="148"/>
      <c r="O11" s="148"/>
      <c r="P11" s="148"/>
      <c r="Q11" s="148"/>
      <c r="R11" s="148"/>
      <c r="S11" s="148"/>
      <c r="T11" s="148"/>
      <c r="U11" s="148"/>
      <c r="V11" s="148"/>
      <c r="W11" s="148"/>
      <c r="X11" s="148"/>
      <c r="Y11" s="148"/>
    </row>
    <row r="12" spans="1:25" ht="18" customHeight="1" x14ac:dyDescent="0.25">
      <c r="A12" s="146" t="s">
        <v>135</v>
      </c>
      <c r="B12" s="148"/>
      <c r="C12" s="148"/>
      <c r="D12" s="148"/>
      <c r="E12" s="148"/>
      <c r="F12" s="148"/>
      <c r="G12" s="148"/>
      <c r="H12" s="148"/>
      <c r="I12" s="148"/>
      <c r="J12" s="148"/>
      <c r="K12" s="148"/>
      <c r="L12" s="148"/>
      <c r="M12" s="148"/>
      <c r="N12" s="148"/>
      <c r="O12" s="148"/>
      <c r="P12" s="148"/>
      <c r="Q12" s="148"/>
      <c r="R12" s="148"/>
      <c r="S12" s="148"/>
      <c r="T12" s="148"/>
      <c r="U12" s="148"/>
      <c r="V12" s="148"/>
      <c r="W12" s="148"/>
      <c r="X12" s="148"/>
      <c r="Y12" s="148"/>
    </row>
    <row r="13" spans="1:25" ht="18" customHeight="1" x14ac:dyDescent="0.25">
      <c r="A13" s="146" t="s">
        <v>91</v>
      </c>
      <c r="B13" s="148"/>
      <c r="C13" s="148"/>
      <c r="D13" s="148"/>
      <c r="E13" s="148"/>
      <c r="F13" s="148"/>
      <c r="G13" s="148"/>
      <c r="H13" s="148"/>
      <c r="I13" s="148"/>
      <c r="J13" s="148"/>
      <c r="K13" s="148"/>
      <c r="L13" s="148"/>
      <c r="M13" s="148"/>
      <c r="N13" s="148"/>
      <c r="O13" s="148"/>
      <c r="P13" s="148"/>
      <c r="Q13" s="148"/>
      <c r="R13" s="148"/>
      <c r="S13" s="148"/>
      <c r="T13" s="148"/>
      <c r="U13" s="148"/>
      <c r="V13" s="148"/>
      <c r="W13" s="148"/>
      <c r="X13" s="148"/>
      <c r="Y13" s="148"/>
    </row>
    <row r="14" spans="1:25" ht="18" customHeight="1" x14ac:dyDescent="0.25">
      <c r="A14" s="146" t="s">
        <v>136</v>
      </c>
      <c r="B14" s="148"/>
      <c r="C14" s="148"/>
      <c r="D14" s="148"/>
      <c r="E14" s="148"/>
      <c r="F14" s="148"/>
      <c r="G14" s="148"/>
      <c r="H14" s="148"/>
      <c r="I14" s="148"/>
      <c r="J14" s="148"/>
      <c r="K14" s="148"/>
      <c r="L14" s="148"/>
      <c r="M14" s="148"/>
      <c r="N14" s="148"/>
      <c r="O14" s="148"/>
      <c r="P14" s="148"/>
      <c r="Q14" s="148"/>
      <c r="R14" s="148"/>
      <c r="S14" s="148"/>
      <c r="T14" s="148"/>
      <c r="U14" s="148"/>
      <c r="V14" s="148"/>
      <c r="W14" s="148"/>
      <c r="X14" s="148"/>
      <c r="Y14" s="148"/>
    </row>
    <row r="15" spans="1:25" ht="18" customHeight="1" x14ac:dyDescent="0.25">
      <c r="A15" s="146" t="s">
        <v>137</v>
      </c>
      <c r="B15" s="148"/>
      <c r="C15" s="148"/>
      <c r="D15" s="148"/>
      <c r="E15" s="148"/>
      <c r="F15" s="148"/>
      <c r="G15" s="148"/>
      <c r="H15" s="148"/>
      <c r="I15" s="148"/>
      <c r="J15" s="148"/>
      <c r="K15" s="148"/>
      <c r="L15" s="148"/>
      <c r="M15" s="148"/>
      <c r="N15" s="148"/>
      <c r="O15" s="148"/>
      <c r="P15" s="148"/>
      <c r="Q15" s="148"/>
      <c r="R15" s="148"/>
      <c r="S15" s="148"/>
      <c r="T15" s="148"/>
      <c r="U15" s="148"/>
      <c r="V15" s="148"/>
      <c r="W15" s="148"/>
      <c r="X15" s="148"/>
      <c r="Y15" s="148"/>
    </row>
    <row r="16" spans="1:25" ht="18" customHeight="1" x14ac:dyDescent="0.25">
      <c r="A16" s="146" t="s">
        <v>138</v>
      </c>
      <c r="B16" s="148"/>
      <c r="C16" s="148"/>
      <c r="D16" s="148"/>
      <c r="E16" s="148"/>
      <c r="F16" s="148"/>
      <c r="G16" s="148"/>
      <c r="H16" s="148"/>
      <c r="I16" s="148"/>
      <c r="J16" s="148"/>
      <c r="K16" s="148"/>
      <c r="L16" s="148"/>
      <c r="M16" s="148"/>
      <c r="N16" s="148"/>
      <c r="O16" s="148"/>
      <c r="P16" s="148"/>
      <c r="Q16" s="148"/>
      <c r="R16" s="148"/>
      <c r="S16" s="148"/>
      <c r="T16" s="148"/>
      <c r="U16" s="148"/>
      <c r="V16" s="148"/>
      <c r="W16" s="148"/>
      <c r="X16" s="148"/>
      <c r="Y16" s="148"/>
    </row>
    <row r="17" spans="1:25" ht="18" customHeight="1" x14ac:dyDescent="0.25">
      <c r="A17" s="146" t="s">
        <v>92</v>
      </c>
      <c r="B17" s="148"/>
      <c r="C17" s="148"/>
      <c r="D17" s="148"/>
      <c r="E17" s="148"/>
      <c r="F17" s="148"/>
      <c r="G17" s="148"/>
      <c r="H17" s="148"/>
      <c r="I17" s="148"/>
      <c r="J17" s="148"/>
      <c r="K17" s="148"/>
      <c r="L17" s="148"/>
      <c r="M17" s="148"/>
      <c r="N17" s="148"/>
      <c r="O17" s="148"/>
      <c r="P17" s="148"/>
      <c r="Q17" s="148"/>
      <c r="R17" s="148"/>
      <c r="S17" s="148"/>
      <c r="T17" s="148"/>
      <c r="U17" s="148"/>
      <c r="V17" s="148"/>
      <c r="W17" s="148"/>
      <c r="X17" s="148"/>
      <c r="Y17" s="148"/>
    </row>
    <row r="18" spans="1:25" ht="18" customHeight="1" x14ac:dyDescent="0.25">
      <c r="A18" s="146" t="s">
        <v>93</v>
      </c>
      <c r="B18" s="148"/>
      <c r="C18" s="148"/>
      <c r="D18" s="148"/>
      <c r="E18" s="148"/>
      <c r="F18" s="148"/>
      <c r="G18" s="148"/>
      <c r="H18" s="148"/>
      <c r="I18" s="148"/>
      <c r="J18" s="148"/>
      <c r="K18" s="148"/>
      <c r="L18" s="148"/>
      <c r="M18" s="148"/>
      <c r="N18" s="148"/>
      <c r="O18" s="148"/>
      <c r="P18" s="148"/>
      <c r="Q18" s="148"/>
      <c r="R18" s="148"/>
      <c r="S18" s="148"/>
      <c r="T18" s="148"/>
      <c r="U18" s="148"/>
      <c r="V18" s="148"/>
      <c r="W18" s="148"/>
      <c r="X18" s="148"/>
      <c r="Y18" s="148"/>
    </row>
    <row r="19" spans="1:25" ht="18" customHeight="1" x14ac:dyDescent="0.25">
      <c r="A19" s="146" t="s">
        <v>84</v>
      </c>
      <c r="B19" s="148"/>
      <c r="C19" s="148"/>
      <c r="D19" s="148"/>
      <c r="E19" s="148"/>
      <c r="F19" s="148"/>
      <c r="G19" s="148"/>
      <c r="H19" s="148"/>
      <c r="I19" s="148"/>
      <c r="J19" s="148"/>
      <c r="K19" s="148"/>
      <c r="L19" s="148"/>
      <c r="M19" s="148"/>
      <c r="N19" s="148"/>
      <c r="O19" s="148"/>
      <c r="P19" s="148"/>
      <c r="Q19" s="148"/>
      <c r="R19" s="148"/>
      <c r="S19" s="148"/>
      <c r="T19" s="148"/>
      <c r="U19" s="148"/>
      <c r="V19" s="148"/>
      <c r="W19" s="148"/>
      <c r="X19" s="148"/>
      <c r="Y19" s="148"/>
    </row>
    <row r="20" spans="1:25" ht="18" customHeight="1" x14ac:dyDescent="0.25">
      <c r="A20" s="146" t="s">
        <v>85</v>
      </c>
      <c r="B20" s="148"/>
      <c r="C20" s="148"/>
      <c r="D20" s="148"/>
      <c r="E20" s="148"/>
      <c r="F20" s="148"/>
      <c r="G20" s="148"/>
      <c r="H20" s="148"/>
      <c r="I20" s="148"/>
      <c r="J20" s="148"/>
      <c r="K20" s="148"/>
      <c r="L20" s="148"/>
      <c r="M20" s="148"/>
      <c r="N20" s="148"/>
      <c r="O20" s="148"/>
      <c r="P20" s="148"/>
      <c r="Q20" s="148"/>
      <c r="R20" s="148"/>
      <c r="S20" s="148"/>
      <c r="T20" s="148"/>
      <c r="U20" s="148"/>
      <c r="V20" s="148"/>
      <c r="W20" s="148"/>
      <c r="X20" s="148"/>
      <c r="Y20" s="148"/>
    </row>
    <row r="21" spans="1:25" ht="18" customHeight="1" x14ac:dyDescent="0.25">
      <c r="A21" s="146" t="s">
        <v>43</v>
      </c>
      <c r="B21" s="148"/>
      <c r="C21" s="148"/>
      <c r="D21" s="148"/>
      <c r="E21" s="148"/>
      <c r="F21" s="148"/>
      <c r="G21" s="148"/>
      <c r="H21" s="148"/>
      <c r="I21" s="148"/>
      <c r="J21" s="148"/>
      <c r="K21" s="148"/>
      <c r="L21" s="148"/>
      <c r="M21" s="148"/>
      <c r="N21" s="148"/>
      <c r="O21" s="148"/>
      <c r="P21" s="148"/>
      <c r="Q21" s="148"/>
      <c r="R21" s="148"/>
      <c r="S21" s="148"/>
      <c r="T21" s="148"/>
      <c r="U21" s="148"/>
      <c r="V21" s="148"/>
      <c r="W21" s="148"/>
      <c r="X21" s="148"/>
      <c r="Y21" s="148"/>
    </row>
    <row r="22" spans="1:25" ht="18" customHeight="1" x14ac:dyDescent="0.25">
      <c r="A22" s="146" t="s">
        <v>83</v>
      </c>
      <c r="B22" s="148"/>
      <c r="C22" s="148"/>
      <c r="D22" s="148"/>
      <c r="E22" s="148"/>
      <c r="F22" s="148"/>
      <c r="G22" s="148"/>
      <c r="H22" s="148"/>
      <c r="I22" s="148"/>
      <c r="J22" s="148"/>
      <c r="K22" s="148"/>
      <c r="L22" s="148"/>
      <c r="M22" s="148"/>
      <c r="N22" s="148"/>
      <c r="O22" s="148"/>
      <c r="P22" s="148"/>
      <c r="Q22" s="148"/>
      <c r="R22" s="148"/>
      <c r="S22" s="148"/>
      <c r="T22" s="148"/>
      <c r="U22" s="148"/>
      <c r="V22" s="148"/>
      <c r="W22" s="148"/>
      <c r="X22" s="148"/>
      <c r="Y22" s="148"/>
    </row>
    <row r="23" spans="1:25" ht="29.1" customHeight="1" x14ac:dyDescent="0.25">
      <c r="A23" s="149"/>
      <c r="B23" s="148"/>
      <c r="C23" s="148"/>
      <c r="D23" s="148"/>
      <c r="E23" s="148"/>
      <c r="F23" s="148"/>
      <c r="G23" s="148"/>
      <c r="H23" s="148"/>
      <c r="I23" s="148"/>
      <c r="J23" s="148"/>
      <c r="K23" s="148"/>
      <c r="L23" s="148"/>
      <c r="M23" s="148"/>
      <c r="N23" s="148"/>
      <c r="O23" s="148"/>
      <c r="P23" s="148"/>
      <c r="Q23" s="148"/>
      <c r="R23" s="148"/>
      <c r="S23" s="148"/>
      <c r="T23" s="148"/>
      <c r="U23" s="148"/>
      <c r="V23" s="148"/>
      <c r="W23" s="148"/>
      <c r="X23" s="148"/>
      <c r="Y23" s="148"/>
    </row>
    <row r="24" spans="1:25" x14ac:dyDescent="0.25">
      <c r="A24" s="148"/>
      <c r="B24" s="148"/>
      <c r="C24" s="148"/>
      <c r="D24" s="148"/>
      <c r="E24" s="148"/>
      <c r="F24" s="148"/>
      <c r="G24" s="148"/>
      <c r="H24" s="148"/>
      <c r="I24" s="148"/>
      <c r="J24" s="148"/>
      <c r="K24" s="148"/>
      <c r="L24" s="148"/>
      <c r="M24" s="148"/>
      <c r="N24" s="148"/>
      <c r="O24" s="148"/>
      <c r="P24" s="148"/>
      <c r="Q24" s="148"/>
      <c r="R24" s="148"/>
      <c r="S24" s="148"/>
      <c r="T24" s="148"/>
      <c r="U24" s="148"/>
      <c r="V24" s="148"/>
      <c r="W24" s="148"/>
      <c r="X24" s="148"/>
      <c r="Y24" s="148"/>
    </row>
    <row r="25" spans="1:25" x14ac:dyDescent="0.25">
      <c r="A25" s="148"/>
      <c r="B25" s="148"/>
      <c r="C25" s="148"/>
      <c r="D25" s="148"/>
      <c r="E25" s="148"/>
      <c r="F25" s="148"/>
      <c r="G25" s="148"/>
      <c r="H25" s="148"/>
      <c r="I25" s="148"/>
      <c r="J25" s="148"/>
      <c r="K25" s="148"/>
      <c r="L25" s="148"/>
      <c r="M25" s="148"/>
      <c r="N25" s="148"/>
      <c r="O25" s="148"/>
      <c r="P25" s="148"/>
      <c r="Q25" s="148"/>
      <c r="R25" s="148"/>
      <c r="S25" s="148"/>
      <c r="T25" s="148"/>
      <c r="U25" s="148"/>
      <c r="V25" s="148"/>
      <c r="W25" s="148"/>
      <c r="X25" s="148"/>
      <c r="Y25" s="148"/>
    </row>
    <row r="26" spans="1:25" x14ac:dyDescent="0.25">
      <c r="A26" s="148"/>
      <c r="B26" s="148"/>
      <c r="C26" s="148"/>
      <c r="D26" s="148"/>
      <c r="E26" s="148"/>
      <c r="F26" s="148"/>
      <c r="G26" s="148"/>
      <c r="H26" s="148"/>
      <c r="I26" s="148"/>
      <c r="J26" s="148"/>
      <c r="K26" s="148"/>
      <c r="L26" s="148"/>
      <c r="M26" s="148"/>
      <c r="N26" s="148"/>
      <c r="O26" s="148"/>
      <c r="P26" s="148"/>
      <c r="Q26" s="148"/>
      <c r="R26" s="148"/>
      <c r="S26" s="148"/>
      <c r="T26" s="148"/>
      <c r="U26" s="148"/>
      <c r="V26" s="148"/>
      <c r="W26" s="148"/>
      <c r="X26" s="148"/>
      <c r="Y26" s="148"/>
    </row>
    <row r="27" spans="1:25" x14ac:dyDescent="0.25">
      <c r="A27" s="148"/>
      <c r="B27" s="148"/>
      <c r="C27" s="148"/>
      <c r="D27" s="148"/>
      <c r="E27" s="148"/>
      <c r="F27" s="148"/>
      <c r="G27" s="148"/>
      <c r="H27" s="148"/>
      <c r="I27" s="148"/>
      <c r="J27" s="148"/>
      <c r="K27" s="148"/>
      <c r="L27" s="148"/>
      <c r="M27" s="148"/>
      <c r="N27" s="148"/>
      <c r="O27" s="148"/>
      <c r="P27" s="148"/>
      <c r="Q27" s="148"/>
      <c r="R27" s="148"/>
      <c r="S27" s="148"/>
      <c r="T27" s="148"/>
      <c r="U27" s="148"/>
      <c r="V27" s="148"/>
      <c r="W27" s="148"/>
      <c r="X27" s="148"/>
      <c r="Y27" s="148"/>
    </row>
    <row r="28" spans="1:25" x14ac:dyDescent="0.25">
      <c r="A28" s="148"/>
      <c r="B28" s="148"/>
      <c r="C28" s="148"/>
      <c r="D28" s="148"/>
      <c r="E28" s="148"/>
      <c r="F28" s="148"/>
      <c r="G28" s="148"/>
      <c r="H28" s="148"/>
      <c r="I28" s="148"/>
      <c r="J28" s="148"/>
      <c r="K28" s="148"/>
      <c r="L28" s="148"/>
      <c r="M28" s="148"/>
      <c r="N28" s="148"/>
      <c r="O28" s="148"/>
      <c r="P28" s="148"/>
      <c r="Q28" s="148"/>
      <c r="R28" s="148"/>
      <c r="S28" s="148"/>
      <c r="T28" s="148"/>
      <c r="U28" s="148"/>
      <c r="V28" s="148"/>
      <c r="W28" s="148"/>
      <c r="X28" s="148"/>
      <c r="Y28" s="148"/>
    </row>
    <row r="29" spans="1:25" x14ac:dyDescent="0.25">
      <c r="A29" s="148"/>
      <c r="B29" s="148"/>
      <c r="C29" s="148"/>
      <c r="D29" s="148"/>
      <c r="E29" s="148"/>
      <c r="F29" s="148"/>
      <c r="G29" s="148"/>
      <c r="H29" s="148"/>
      <c r="I29" s="148"/>
      <c r="J29" s="148"/>
      <c r="K29" s="148"/>
      <c r="L29" s="148"/>
      <c r="M29" s="148"/>
      <c r="N29" s="148"/>
      <c r="O29" s="148"/>
      <c r="P29" s="148"/>
      <c r="Q29" s="148"/>
      <c r="R29" s="148"/>
      <c r="S29" s="148"/>
      <c r="T29" s="148"/>
      <c r="U29" s="148"/>
      <c r="V29" s="148"/>
      <c r="W29" s="148"/>
      <c r="X29" s="148"/>
      <c r="Y29" s="148"/>
    </row>
    <row r="30" spans="1:25" x14ac:dyDescent="0.25">
      <c r="A30" s="148"/>
      <c r="B30" s="148"/>
      <c r="C30" s="148"/>
      <c r="D30" s="148"/>
      <c r="E30" s="148"/>
      <c r="F30" s="148"/>
      <c r="G30" s="148"/>
      <c r="H30" s="148"/>
      <c r="I30" s="148"/>
      <c r="J30" s="148"/>
      <c r="K30" s="148"/>
      <c r="L30" s="148"/>
      <c r="M30" s="148"/>
      <c r="N30" s="148"/>
      <c r="O30" s="148"/>
      <c r="P30" s="148"/>
      <c r="Q30" s="148"/>
      <c r="R30" s="148"/>
      <c r="S30" s="148"/>
      <c r="T30" s="148"/>
      <c r="U30" s="148"/>
      <c r="V30" s="148"/>
      <c r="W30" s="148"/>
      <c r="X30" s="148"/>
      <c r="Y30" s="148"/>
    </row>
    <row r="31" spans="1:25" x14ac:dyDescent="0.25">
      <c r="A31" s="148"/>
      <c r="B31" s="148"/>
      <c r="C31" s="148"/>
      <c r="D31" s="148"/>
      <c r="E31" s="148"/>
      <c r="F31" s="148"/>
      <c r="G31" s="148"/>
      <c r="H31" s="148"/>
      <c r="I31" s="148"/>
      <c r="J31" s="148"/>
      <c r="K31" s="148"/>
      <c r="L31" s="148"/>
      <c r="M31" s="148"/>
      <c r="N31" s="148"/>
      <c r="O31" s="148"/>
      <c r="P31" s="148"/>
      <c r="Q31" s="148"/>
      <c r="R31" s="148"/>
      <c r="S31" s="148"/>
      <c r="T31" s="148"/>
      <c r="U31" s="148"/>
      <c r="V31" s="148"/>
      <c r="W31" s="148"/>
      <c r="X31" s="148"/>
      <c r="Y31" s="148"/>
    </row>
    <row r="32" spans="1:25" x14ac:dyDescent="0.25">
      <c r="A32" s="148"/>
      <c r="B32" s="148"/>
      <c r="C32" s="148"/>
      <c r="D32" s="148"/>
      <c r="E32" s="148"/>
      <c r="F32" s="148"/>
      <c r="G32" s="148"/>
      <c r="H32" s="148"/>
      <c r="I32" s="148"/>
      <c r="J32" s="148"/>
      <c r="K32" s="148"/>
      <c r="L32" s="148"/>
      <c r="M32" s="148"/>
      <c r="N32" s="148"/>
      <c r="O32" s="148"/>
      <c r="P32" s="148"/>
      <c r="Q32" s="148"/>
      <c r="R32" s="148"/>
      <c r="S32" s="148"/>
      <c r="T32" s="148"/>
      <c r="U32" s="148"/>
      <c r="V32" s="148"/>
      <c r="W32" s="148"/>
      <c r="X32" s="148"/>
      <c r="Y32" s="148"/>
    </row>
    <row r="33" spans="1:25" x14ac:dyDescent="0.25">
      <c r="A33" s="148"/>
      <c r="B33" s="148"/>
      <c r="C33" s="148"/>
      <c r="D33" s="148"/>
      <c r="E33" s="148"/>
      <c r="F33" s="148"/>
      <c r="G33" s="148"/>
      <c r="H33" s="148"/>
      <c r="I33" s="148"/>
      <c r="J33" s="148"/>
      <c r="K33" s="148"/>
      <c r="L33" s="148"/>
      <c r="M33" s="148"/>
      <c r="N33" s="148"/>
      <c r="O33" s="148"/>
      <c r="P33" s="148"/>
      <c r="Q33" s="148"/>
      <c r="R33" s="148"/>
      <c r="S33" s="148"/>
      <c r="T33" s="148"/>
      <c r="U33" s="148"/>
      <c r="V33" s="148"/>
      <c r="W33" s="148"/>
      <c r="X33" s="148"/>
      <c r="Y33" s="148"/>
    </row>
    <row r="34" spans="1:25" x14ac:dyDescent="0.25">
      <c r="A34" s="148"/>
      <c r="B34" s="148"/>
      <c r="C34" s="148"/>
      <c r="D34" s="148"/>
      <c r="E34" s="148"/>
      <c r="F34" s="148"/>
      <c r="G34" s="148"/>
      <c r="H34" s="148"/>
      <c r="I34" s="148"/>
      <c r="J34" s="148"/>
      <c r="K34" s="148"/>
      <c r="L34" s="148"/>
      <c r="M34" s="148"/>
      <c r="N34" s="148"/>
      <c r="O34" s="148"/>
      <c r="P34" s="148"/>
      <c r="Q34" s="148"/>
      <c r="R34" s="148"/>
      <c r="S34" s="148"/>
      <c r="T34" s="148"/>
      <c r="U34" s="148"/>
      <c r="V34" s="148"/>
      <c r="W34" s="148"/>
      <c r="X34" s="148"/>
      <c r="Y34" s="148"/>
    </row>
    <row r="35" spans="1:25" x14ac:dyDescent="0.25">
      <c r="A35" s="148"/>
      <c r="B35" s="148"/>
      <c r="C35" s="148"/>
      <c r="D35" s="148"/>
      <c r="E35" s="148"/>
      <c r="F35" s="148"/>
      <c r="G35" s="148"/>
      <c r="H35" s="148"/>
      <c r="I35" s="148"/>
      <c r="J35" s="148"/>
      <c r="K35" s="148"/>
      <c r="L35" s="148"/>
      <c r="M35" s="148"/>
      <c r="N35" s="148"/>
      <c r="O35" s="148"/>
      <c r="P35" s="148"/>
      <c r="Q35" s="148"/>
      <c r="R35" s="148"/>
      <c r="S35" s="148"/>
      <c r="T35" s="148"/>
      <c r="U35" s="148"/>
      <c r="V35" s="148"/>
      <c r="W35" s="148"/>
      <c r="X35" s="148"/>
      <c r="Y35" s="148"/>
    </row>
    <row r="36" spans="1:25" x14ac:dyDescent="0.25">
      <c r="A36" s="148"/>
      <c r="B36" s="148"/>
      <c r="C36" s="148"/>
      <c r="D36" s="148"/>
      <c r="E36" s="148"/>
      <c r="F36" s="148"/>
      <c r="G36" s="148"/>
      <c r="H36" s="148"/>
      <c r="I36" s="148"/>
      <c r="J36" s="148"/>
      <c r="K36" s="148"/>
      <c r="L36" s="148"/>
      <c r="M36" s="148"/>
      <c r="N36" s="148"/>
      <c r="O36" s="148"/>
      <c r="P36" s="148"/>
      <c r="Q36" s="148"/>
      <c r="R36" s="148"/>
      <c r="S36" s="148"/>
      <c r="T36" s="148"/>
      <c r="U36" s="148"/>
      <c r="V36" s="148"/>
      <c r="W36" s="148"/>
      <c r="X36" s="148"/>
      <c r="Y36" s="148"/>
    </row>
    <row r="37" spans="1:25" x14ac:dyDescent="0.25">
      <c r="A37" s="148"/>
      <c r="B37" s="148"/>
      <c r="C37" s="148"/>
      <c r="D37" s="148"/>
      <c r="E37" s="148"/>
      <c r="F37" s="148"/>
      <c r="G37" s="148"/>
      <c r="H37" s="148"/>
      <c r="I37" s="148"/>
      <c r="J37" s="148"/>
      <c r="K37" s="148"/>
      <c r="L37" s="148"/>
      <c r="M37" s="148"/>
      <c r="N37" s="148"/>
      <c r="O37" s="148"/>
      <c r="P37" s="148"/>
      <c r="Q37" s="148"/>
      <c r="R37" s="148"/>
      <c r="S37" s="148"/>
      <c r="T37" s="148"/>
      <c r="U37" s="148"/>
      <c r="V37" s="148"/>
      <c r="W37" s="148"/>
      <c r="X37" s="148"/>
      <c r="Y37" s="148"/>
    </row>
    <row r="38" spans="1:25" x14ac:dyDescent="0.25">
      <c r="A38" s="148"/>
      <c r="B38" s="148"/>
      <c r="C38" s="148"/>
      <c r="D38" s="148"/>
      <c r="E38" s="148"/>
      <c r="F38" s="148"/>
      <c r="G38" s="148"/>
      <c r="H38" s="148"/>
      <c r="I38" s="148"/>
      <c r="J38" s="148"/>
      <c r="K38" s="148"/>
      <c r="L38" s="148"/>
      <c r="M38" s="148"/>
      <c r="N38" s="148"/>
      <c r="O38" s="148"/>
      <c r="P38" s="148"/>
      <c r="Q38" s="148"/>
      <c r="R38" s="148"/>
      <c r="S38" s="148"/>
      <c r="T38" s="148"/>
      <c r="U38" s="148"/>
      <c r="V38" s="148"/>
      <c r="W38" s="148"/>
      <c r="X38" s="148"/>
      <c r="Y38" s="148"/>
    </row>
    <row r="39" spans="1:25" x14ac:dyDescent="0.25">
      <c r="A39" s="148"/>
      <c r="B39" s="148"/>
      <c r="C39" s="148"/>
      <c r="D39" s="148"/>
      <c r="E39" s="148"/>
      <c r="F39" s="148"/>
      <c r="G39" s="148"/>
      <c r="H39" s="148"/>
      <c r="I39" s="148"/>
      <c r="J39" s="148"/>
      <c r="K39" s="148"/>
      <c r="L39" s="148"/>
      <c r="M39" s="148"/>
      <c r="N39" s="148"/>
      <c r="O39" s="148"/>
      <c r="P39" s="148"/>
      <c r="Q39" s="148"/>
      <c r="R39" s="148"/>
      <c r="S39" s="148"/>
      <c r="T39" s="148"/>
      <c r="U39" s="148"/>
      <c r="V39" s="148"/>
      <c r="W39" s="148"/>
      <c r="X39" s="148"/>
      <c r="Y39" s="148"/>
    </row>
    <row r="40" spans="1:25" x14ac:dyDescent="0.25">
      <c r="A40" s="148"/>
      <c r="B40" s="148"/>
      <c r="C40" s="148"/>
      <c r="D40" s="148"/>
      <c r="E40" s="148"/>
      <c r="F40" s="148"/>
      <c r="G40" s="148"/>
      <c r="H40" s="148"/>
      <c r="I40" s="148"/>
      <c r="J40" s="148"/>
      <c r="K40" s="148"/>
      <c r="L40" s="148"/>
      <c r="M40" s="148"/>
      <c r="N40" s="148"/>
      <c r="O40" s="148"/>
      <c r="P40" s="148"/>
      <c r="Q40" s="148"/>
      <c r="R40" s="148"/>
      <c r="S40" s="148"/>
      <c r="T40" s="148"/>
      <c r="U40" s="148"/>
      <c r="V40" s="148"/>
      <c r="W40" s="148"/>
      <c r="X40" s="148"/>
      <c r="Y40" s="148"/>
    </row>
    <row r="41" spans="1:25" x14ac:dyDescent="0.25">
      <c r="A41" s="148"/>
      <c r="B41" s="148"/>
      <c r="C41" s="148"/>
      <c r="D41" s="148"/>
      <c r="E41" s="148"/>
      <c r="F41" s="148"/>
      <c r="G41" s="148"/>
      <c r="H41" s="148"/>
      <c r="I41" s="148"/>
      <c r="J41" s="148"/>
      <c r="K41" s="148"/>
      <c r="L41" s="148"/>
      <c r="M41" s="148"/>
      <c r="N41" s="148"/>
      <c r="O41" s="148"/>
      <c r="P41" s="148"/>
      <c r="Q41" s="148"/>
      <c r="R41" s="148"/>
      <c r="S41" s="148"/>
      <c r="T41" s="148"/>
      <c r="U41" s="148"/>
      <c r="V41" s="148"/>
      <c r="W41" s="148"/>
      <c r="X41" s="148"/>
      <c r="Y41" s="148"/>
    </row>
    <row r="42" spans="1:25" x14ac:dyDescent="0.25">
      <c r="A42" s="148"/>
      <c r="B42" s="148"/>
      <c r="C42" s="148"/>
      <c r="D42" s="148"/>
      <c r="E42" s="148"/>
      <c r="F42" s="148"/>
      <c r="G42" s="148"/>
      <c r="H42" s="148"/>
      <c r="I42" s="148"/>
      <c r="J42" s="148"/>
      <c r="K42" s="148"/>
      <c r="L42" s="148"/>
      <c r="M42" s="148"/>
      <c r="N42" s="148"/>
      <c r="O42" s="148"/>
      <c r="P42" s="148"/>
      <c r="Q42" s="148"/>
      <c r="R42" s="148"/>
      <c r="S42" s="148"/>
      <c r="T42" s="148"/>
      <c r="U42" s="148"/>
      <c r="V42" s="148"/>
      <c r="W42" s="148"/>
      <c r="X42" s="148"/>
      <c r="Y42" s="148"/>
    </row>
    <row r="43" spans="1:25" x14ac:dyDescent="0.25">
      <c r="A43" s="148"/>
      <c r="B43" s="148"/>
      <c r="C43" s="148"/>
      <c r="D43" s="148"/>
      <c r="E43" s="148"/>
      <c r="F43" s="148"/>
      <c r="G43" s="148"/>
      <c r="H43" s="148"/>
      <c r="I43" s="148"/>
      <c r="J43" s="148"/>
      <c r="K43" s="148"/>
      <c r="L43" s="148"/>
      <c r="M43" s="148"/>
      <c r="N43" s="148"/>
      <c r="O43" s="148"/>
      <c r="P43" s="148"/>
      <c r="Q43" s="148"/>
      <c r="R43" s="148"/>
      <c r="S43" s="148"/>
      <c r="T43" s="148"/>
      <c r="U43" s="148"/>
      <c r="V43" s="148"/>
      <c r="W43" s="148"/>
      <c r="X43" s="148"/>
      <c r="Y43" s="148"/>
    </row>
    <row r="44" spans="1:25" x14ac:dyDescent="0.25">
      <c r="A44" s="148"/>
      <c r="B44" s="148"/>
      <c r="C44" s="148"/>
      <c r="D44" s="148"/>
      <c r="E44" s="148"/>
      <c r="F44" s="148"/>
      <c r="G44" s="148"/>
      <c r="H44" s="148"/>
      <c r="I44" s="148"/>
      <c r="J44" s="148"/>
      <c r="K44" s="148"/>
      <c r="L44" s="148"/>
      <c r="M44" s="148"/>
      <c r="N44" s="148"/>
      <c r="O44" s="148"/>
      <c r="P44" s="148"/>
      <c r="Q44" s="148"/>
      <c r="R44" s="148"/>
      <c r="S44" s="148"/>
      <c r="T44" s="148"/>
      <c r="U44" s="148"/>
      <c r="V44" s="148"/>
      <c r="W44" s="148"/>
      <c r="X44" s="148"/>
      <c r="Y44" s="148"/>
    </row>
    <row r="45" spans="1:25" x14ac:dyDescent="0.25">
      <c r="A45" s="148"/>
      <c r="B45" s="148"/>
      <c r="C45" s="148"/>
      <c r="D45" s="148"/>
      <c r="E45" s="148"/>
      <c r="F45" s="148"/>
      <c r="G45" s="148"/>
      <c r="H45" s="148"/>
      <c r="I45" s="148"/>
      <c r="J45" s="148"/>
      <c r="K45" s="148"/>
      <c r="L45" s="148"/>
      <c r="M45" s="148"/>
      <c r="N45" s="148"/>
      <c r="O45" s="148"/>
      <c r="P45" s="148"/>
      <c r="Q45" s="148"/>
      <c r="R45" s="148"/>
      <c r="S45" s="148"/>
      <c r="T45" s="148"/>
      <c r="U45" s="148"/>
      <c r="V45" s="148"/>
      <c r="W45" s="148"/>
      <c r="X45" s="148"/>
      <c r="Y45" s="148"/>
    </row>
    <row r="46" spans="1:25" x14ac:dyDescent="0.25">
      <c r="A46" s="148"/>
      <c r="B46" s="148"/>
      <c r="C46" s="148"/>
      <c r="D46" s="148"/>
      <c r="E46" s="148"/>
      <c r="F46" s="148"/>
      <c r="G46" s="148"/>
      <c r="H46" s="148"/>
      <c r="I46" s="148"/>
      <c r="J46" s="148"/>
      <c r="K46" s="148"/>
      <c r="L46" s="148"/>
      <c r="M46" s="148"/>
      <c r="N46" s="148"/>
      <c r="O46" s="148"/>
      <c r="P46" s="148"/>
      <c r="Q46" s="148"/>
      <c r="R46" s="148"/>
      <c r="S46" s="148"/>
      <c r="T46" s="148"/>
      <c r="U46" s="148"/>
      <c r="V46" s="148"/>
      <c r="W46" s="148"/>
      <c r="X46" s="148"/>
      <c r="Y46" s="148"/>
    </row>
    <row r="47" spans="1:25" x14ac:dyDescent="0.25">
      <c r="A47" s="148"/>
      <c r="B47" s="148"/>
      <c r="C47" s="148"/>
      <c r="D47" s="148"/>
      <c r="E47" s="148"/>
      <c r="F47" s="148"/>
      <c r="G47" s="148"/>
      <c r="H47" s="148"/>
      <c r="I47" s="148"/>
      <c r="J47" s="148"/>
      <c r="K47" s="148"/>
      <c r="L47" s="148"/>
      <c r="M47" s="148"/>
      <c r="N47" s="148"/>
      <c r="O47" s="148"/>
      <c r="P47" s="148"/>
      <c r="Q47" s="148"/>
      <c r="R47" s="148"/>
      <c r="S47" s="148"/>
      <c r="T47" s="148"/>
      <c r="U47" s="148"/>
      <c r="V47" s="148"/>
      <c r="W47" s="148"/>
      <c r="X47" s="148"/>
      <c r="Y47" s="148"/>
    </row>
    <row r="48" spans="1:25" x14ac:dyDescent="0.25">
      <c r="A48" s="148"/>
      <c r="B48" s="148"/>
      <c r="C48" s="148"/>
      <c r="D48" s="148"/>
      <c r="E48" s="148"/>
      <c r="F48" s="148"/>
      <c r="G48" s="148"/>
      <c r="H48" s="148"/>
      <c r="I48" s="148"/>
      <c r="J48" s="148"/>
      <c r="K48" s="148"/>
      <c r="L48" s="148"/>
      <c r="M48" s="148"/>
      <c r="N48" s="148"/>
      <c r="O48" s="148"/>
      <c r="P48" s="148"/>
      <c r="Q48" s="148"/>
      <c r="R48" s="148"/>
      <c r="S48" s="148"/>
      <c r="T48" s="148"/>
      <c r="U48" s="148"/>
      <c r="V48" s="148"/>
      <c r="W48" s="148"/>
      <c r="X48" s="148"/>
      <c r="Y48" s="148"/>
    </row>
    <row r="49" spans="1:25" x14ac:dyDescent="0.25">
      <c r="A49" s="148"/>
      <c r="B49" s="148"/>
      <c r="C49" s="148"/>
      <c r="D49" s="148"/>
      <c r="E49" s="148"/>
      <c r="F49" s="148"/>
      <c r="G49" s="148"/>
      <c r="H49" s="148"/>
      <c r="I49" s="148"/>
      <c r="J49" s="148"/>
      <c r="K49" s="148"/>
      <c r="L49" s="148"/>
      <c r="M49" s="148"/>
      <c r="N49" s="148"/>
      <c r="O49" s="148"/>
      <c r="P49" s="148"/>
      <c r="Q49" s="148"/>
      <c r="R49" s="148"/>
      <c r="S49" s="148"/>
      <c r="T49" s="148"/>
      <c r="U49" s="148"/>
      <c r="V49" s="148"/>
      <c r="W49" s="148"/>
      <c r="X49" s="148"/>
      <c r="Y49" s="148"/>
    </row>
    <row r="50" spans="1:25" x14ac:dyDescent="0.25">
      <c r="A50" s="148"/>
      <c r="B50" s="148"/>
      <c r="C50" s="148"/>
      <c r="D50" s="148"/>
      <c r="E50" s="148"/>
      <c r="F50" s="148"/>
      <c r="G50" s="148"/>
      <c r="H50" s="148"/>
      <c r="I50" s="148"/>
      <c r="J50" s="148"/>
      <c r="K50" s="148"/>
      <c r="L50" s="148"/>
      <c r="M50" s="148"/>
      <c r="N50" s="148"/>
      <c r="O50" s="148"/>
      <c r="P50" s="148"/>
      <c r="Q50" s="148"/>
      <c r="R50" s="148"/>
      <c r="S50" s="148"/>
      <c r="T50" s="148"/>
      <c r="U50" s="148"/>
      <c r="V50" s="148"/>
      <c r="W50" s="148"/>
      <c r="X50" s="148"/>
      <c r="Y50" s="148"/>
    </row>
  </sheetData>
  <sheetProtection sheet="1" objects="1" scenarios="1"/>
  <sortState xmlns:xlrd2="http://schemas.microsoft.com/office/spreadsheetml/2017/richdata2" ref="A2:A50">
    <sortCondition ref="A2:A10000"/>
  </sortState>
  <pageMargins left="0.51181102362204722" right="0.51181102362204722" top="0.78740157480314965" bottom="0.78740157480314965" header="0.31496062992125984" footer="0.31496062992125984"/>
  <pageSetup paperSize="9" orientation="portrait" blackAndWhite="1" vertic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17</vt:i4>
      </vt:variant>
      <vt:variant>
        <vt:lpstr>Intervalos Nomeados</vt:lpstr>
      </vt:variant>
      <vt:variant>
        <vt:i4>30</vt:i4>
      </vt:variant>
    </vt:vector>
  </HeadingPairs>
  <TitlesOfParts>
    <vt:vector size="47" baseType="lpstr">
      <vt:lpstr>Menu</vt:lpstr>
      <vt:lpstr>Seq. Operacional</vt:lpstr>
      <vt:lpstr>Transf Seq Op.</vt:lpstr>
      <vt:lpstr>Consulta Seq. Operacional</vt:lpstr>
      <vt:lpstr>BD Seq Op</vt:lpstr>
      <vt:lpstr>Ficha Acompanhamento</vt:lpstr>
      <vt:lpstr>Balanceamento</vt:lpstr>
      <vt:lpstr>Cliente</vt:lpstr>
      <vt:lpstr>OP</vt:lpstr>
      <vt:lpstr>Consulta OP</vt:lpstr>
      <vt:lpstr>BD da OP</vt:lpstr>
      <vt:lpstr>Operações</vt:lpstr>
      <vt:lpstr>Máquinas</vt:lpstr>
      <vt:lpstr>Aparelhos</vt:lpstr>
      <vt:lpstr>Ref</vt:lpstr>
      <vt:lpstr>Cores</vt:lpstr>
      <vt:lpstr>Tamanhos</vt:lpstr>
      <vt:lpstr>Aparelho</vt:lpstr>
      <vt:lpstr>Aparelhos!Area_de_impressao</vt:lpstr>
      <vt:lpstr>Balanceamento!Area_de_impressao</vt:lpstr>
      <vt:lpstr>'BD da OP'!Area_de_impressao</vt:lpstr>
      <vt:lpstr>'Consulta OP'!Area_de_impressao</vt:lpstr>
      <vt:lpstr>'Consulta Seq. Operacional'!Area_de_impressao</vt:lpstr>
      <vt:lpstr>'Ficha Acompanhamento'!Area_de_impressao</vt:lpstr>
      <vt:lpstr>Máquinas!Area_de_impressao</vt:lpstr>
      <vt:lpstr>Menu!Area_de_impressao</vt:lpstr>
      <vt:lpstr>OP!Area_de_impressao</vt:lpstr>
      <vt:lpstr>Operações!Area_de_impressao</vt:lpstr>
      <vt:lpstr>Ref!Area_de_impressao</vt:lpstr>
      <vt:lpstr>'Seq. Operacional'!Area_de_impressao</vt:lpstr>
      <vt:lpstr>'Transf Seq Op.'!Area_de_impressao</vt:lpstr>
      <vt:lpstr>Cliente</vt:lpstr>
      <vt:lpstr>cores</vt:lpstr>
      <vt:lpstr>Máquina</vt:lpstr>
      <vt:lpstr>numero_ops</vt:lpstr>
      <vt:lpstr>Operações</vt:lpstr>
      <vt:lpstr>Referência</vt:lpstr>
      <vt:lpstr>tamanhos</vt:lpstr>
      <vt:lpstr>Balanceamento!Titulos_de_impressao</vt:lpstr>
      <vt:lpstr>'BD da OP'!Titulos_de_impressao</vt:lpstr>
      <vt:lpstr>'BD Seq Op'!Titulos_de_impressao</vt:lpstr>
      <vt:lpstr>'Consulta OP'!Titulos_de_impressao</vt:lpstr>
      <vt:lpstr>'Consulta Seq. Operacional'!Titulos_de_impressao</vt:lpstr>
      <vt:lpstr>'Ficha Acompanhamento'!Titulos_de_impressao</vt:lpstr>
      <vt:lpstr>OP!Titulos_de_impressao</vt:lpstr>
      <vt:lpstr>Operações!Titulos_de_impressao</vt:lpstr>
      <vt:lpstr>'Seq. Operacional'!Titulos_de_impressao</vt:lpstr>
    </vt:vector>
  </TitlesOfParts>
  <Manager>Pedro Paulo (Pepe)</Manager>
  <Company>Planilhas para Confecção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Ficha de Balanceamento</dc:title>
  <dc:creator>Pedro Paulo Andriani</dc:creator>
  <cp:keywords>Planilhas para Confecção</cp:keywords>
  <dc:description>www.planilhasparaconfeccao.com.br</dc:description>
  <cp:lastModifiedBy>maria a n franca</cp:lastModifiedBy>
  <cp:lastPrinted>2016-09-03T18:45:15Z</cp:lastPrinted>
  <dcterms:created xsi:type="dcterms:W3CDTF">2016-05-13T12:46:26Z</dcterms:created>
  <dcterms:modified xsi:type="dcterms:W3CDTF">2026-04-21T19:10:18Z</dcterms:modified>
  <cp:version>Versão 1.0</cp:version>
</cp:coreProperties>
</file>